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ahrahussaini/Desktop/My Files/Drive F/master students/Correct version (1)/21/"/>
    </mc:Choice>
  </mc:AlternateContent>
  <xr:revisionPtr revIDLastSave="0" documentId="13_ncr:1_{99A2BF1B-FCFF-974F-B29E-E5F5A687DDB3}" xr6:coauthVersionLast="47" xr6:coauthVersionMax="47" xr10:uidLastSave="{00000000-0000-0000-0000-000000000000}"/>
  <bookViews>
    <workbookView xWindow="0" yWindow="760" windowWidth="25820" windowHeight="15500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Agend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" i="1" l="1"/>
  <c r="F75" i="1"/>
  <c r="C97" i="1"/>
  <c r="D97" i="1"/>
  <c r="C98" i="1"/>
  <c r="D98" i="1"/>
  <c r="C99" i="1"/>
  <c r="D99" i="1"/>
  <c r="B98" i="1"/>
  <c r="B99" i="1"/>
  <c r="B97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I92" i="1"/>
  <c r="I93" i="1"/>
  <c r="I94" i="1"/>
  <c r="I95" i="1"/>
  <c r="I96" i="1"/>
  <c r="I97" i="1"/>
  <c r="I91" i="1"/>
  <c r="E88" i="1"/>
  <c r="F88" i="1"/>
  <c r="E89" i="1"/>
  <c r="F89" i="1"/>
  <c r="E90" i="1"/>
  <c r="F90" i="1"/>
  <c r="D89" i="1"/>
  <c r="D90" i="1"/>
  <c r="D88" i="1"/>
</calcChain>
</file>

<file path=xl/sharedStrings.xml><?xml version="1.0" encoding="utf-8"?>
<sst xmlns="http://schemas.openxmlformats.org/spreadsheetml/2006/main" count="716" uniqueCount="296">
  <si>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</si>
  <si>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</si>
  <si>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</si>
  <si>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</si>
  <si>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</si>
  <si>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</si>
  <si>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</si>
  <si>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</si>
  <si>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</si>
  <si>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</si>
  <si>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</si>
  <si>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</si>
  <si>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</si>
  <si>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</si>
  <si>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</si>
  <si>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</si>
  <si>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</si>
  <si>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</si>
  <si>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</t>
  </si>
  <si>
    <t>1.1</t>
  </si>
  <si>
    <t>1.1.1</t>
  </si>
  <si>
    <t>7d</t>
  </si>
  <si>
    <t>mason</t>
  </si>
  <si>
    <t>3FS</t>
  </si>
  <si>
    <t>10d</t>
  </si>
  <si>
    <t>carpenter</t>
  </si>
  <si>
    <t>FS15</t>
  </si>
  <si>
    <t>team subcontractor</t>
  </si>
  <si>
    <t>plasterer</t>
  </si>
  <si>
    <t>FS16</t>
  </si>
  <si>
    <t>electrician</t>
  </si>
  <si>
    <t>FS21</t>
  </si>
  <si>
    <t>12d</t>
  </si>
  <si>
    <t>FS35;FS36</t>
  </si>
  <si>
    <t>FS34</t>
  </si>
  <si>
    <t>FS40</t>
  </si>
  <si>
    <t>painter</t>
  </si>
  <si>
    <t>Type</t>
  </si>
  <si>
    <t>Availability</t>
  </si>
  <si>
    <t>Cost/Use</t>
  </si>
  <si>
    <t>Cost/Unit</t>
  </si>
  <si>
    <t>Assigned To</t>
  </si>
  <si>
    <t>Renewable</t>
  </si>
  <si>
    <t>5 people</t>
  </si>
  <si>
    <t>7 people</t>
  </si>
  <si>
    <t>2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</si>
  <si>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</si>
  <si>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</si>
  <si>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</si>
  <si>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</si>
  <si>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</si>
  <si>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</si>
  <si>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</si>
  <si>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</si>
  <si>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</si>
  <si>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</si>
  <si>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</si>
  <si>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</si>
  <si>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</si>
  <si>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</si>
  <si>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</si>
  <si>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</si>
  <si>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</si>
  <si>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</si>
  <si>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</si>
  <si>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</si>
  <si>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</si>
  <si>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</si>
  <si>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</si>
  <si>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</si>
  <si>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</si>
  <si>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</si>
  <si>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</si>
  <si>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</si>
  <si>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18d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</si>
  <si>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</si>
  <si>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</si>
  <si>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</si>
  <si>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</si>
  <si>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</si>
  <si>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</si>
  <si>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</si>
  <si>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</si>
  <si>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</si>
  <si>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</si>
  <si>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</si>
  <si>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</si>
  <si>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</si>
  <si>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</si>
  <si>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</si>
  <si>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</si>
  <si>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</si>
  <si>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</si>
  <si>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</si>
  <si>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</si>
  <si>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</si>
  <si>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</si>
  <si>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</si>
  <si>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</si>
  <si>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</si>
  <si>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</si>
  <si>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</si>
  <si>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</si>
  <si>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</si>
  <si>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</si>
  <si>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</si>
  <si>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</si>
  <si>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</si>
  <si>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</si>
  <si>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</si>
  <si>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</si>
  <si>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</si>
  <si>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Optimistic (hours)</t>
  </si>
  <si>
    <t>Most probable (hours)</t>
  </si>
  <si>
    <t>Pessimistic (hours)</t>
  </si>
  <si>
    <t>ACTIVIDADES GENERALES</t>
  </si>
  <si>
    <t>TRABAJOS PRELIMINARES</t>
  </si>
  <si>
    <t>MOVILIZACION Y DESMOVILIZACION DE MAQUINARIAS Y EQUIPOS</t>
  </si>
  <si>
    <t>FS6;FS7;FS58;FS43</t>
  </si>
  <si>
    <t>1d</t>
  </si>
  <si>
    <t>PUENTE CONIN</t>
  </si>
  <si>
    <t>2</t>
  </si>
  <si>
    <t>OBRAS PRELIMINARES</t>
  </si>
  <si>
    <t>2.1</t>
  </si>
  <si>
    <t>CARTEL DE OBRA</t>
  </si>
  <si>
    <t>2.1.1</t>
  </si>
  <si>
    <t>LIMPIEZA DEL TERRENO MANUAL</t>
  </si>
  <si>
    <t>2.1.2</t>
  </si>
  <si>
    <t>FS8;FS38</t>
  </si>
  <si>
    <t>2d</t>
  </si>
  <si>
    <t>ALMACEN Y GUARDIANIA</t>
  </si>
  <si>
    <t>2.1.3</t>
  </si>
  <si>
    <t>7FS</t>
  </si>
  <si>
    <t>FS9</t>
  </si>
  <si>
    <t>3d</t>
  </si>
  <si>
    <t>TRAZO Y REPLANTEO INICIAL</t>
  </si>
  <si>
    <t>2.1.4</t>
  </si>
  <si>
    <t>8FS</t>
  </si>
  <si>
    <t>ENCAUZAMIENTO DEL CAUCE DEL RIO</t>
  </si>
  <si>
    <t>2.1.5</t>
  </si>
  <si>
    <t>FS12</t>
  </si>
  <si>
    <t>SUBESTRUCTURA</t>
  </si>
  <si>
    <t>2.2</t>
  </si>
  <si>
    <t>EXCAVACION PARA ESTRIBOS EN TERRENO NORMAL CON MAQUINARIA</t>
  </si>
  <si>
    <t>2.2.1</t>
  </si>
  <si>
    <t>10FS</t>
  </si>
  <si>
    <t>FS13</t>
  </si>
  <si>
    <t>team subcontractor[2.00 #8]</t>
  </si>
  <si>
    <t>RELLENO COMPACTADO CON MATERIAL PROPIO</t>
  </si>
  <si>
    <t>2.2.2</t>
  </si>
  <si>
    <t>12FS</t>
  </si>
  <si>
    <t>6d</t>
  </si>
  <si>
    <t>ELIMINACION DE MATERIAL EXCEDENTE CON MAQUINARI, D=1.5 KM.</t>
  </si>
  <si>
    <t>2.2.3</t>
  </si>
  <si>
    <t>13FS</t>
  </si>
  <si>
    <t>ENCOFRADO Y DESENCOFRADO DE ESTRIBO</t>
  </si>
  <si>
    <t>CONCRETO f'c=175 kg/cm2  + 30% PM.</t>
  </si>
  <si>
    <t>15FS</t>
  </si>
  <si>
    <t>FS23;FS18</t>
  </si>
  <si>
    <t>PUENTE PROVISIONAL</t>
  </si>
  <si>
    <t>2.3</t>
  </si>
  <si>
    <t>SUPERESTRUCTURA DE ROLLIZO (L=18.00 M.)</t>
  </si>
  <si>
    <t>2.3.1</t>
  </si>
  <si>
    <t>16FS</t>
  </si>
  <si>
    <t>FS19;FS20</t>
  </si>
  <si>
    <t>team subcontractor[3.00 #8]</t>
  </si>
  <si>
    <t>CONSTRUSSION DE MADERAMEN</t>
  </si>
  <si>
    <t>2.3.2</t>
  </si>
  <si>
    <t>18FS</t>
  </si>
  <si>
    <t>ALCAYATAS T-1</t>
  </si>
  <si>
    <t>2.3.3</t>
  </si>
  <si>
    <t>ALCAYATAS T-2</t>
  </si>
  <si>
    <t>2.3.4</t>
  </si>
  <si>
    <t>19FS</t>
  </si>
  <si>
    <t>DEFENSA RIBEREÑA</t>
  </si>
  <si>
    <t>2.4</t>
  </si>
  <si>
    <t>EXCAVACION EN MATERIAL COMUN BAJO AGUA</t>
  </si>
  <si>
    <t>2.4.1</t>
  </si>
  <si>
    <t>FS24</t>
  </si>
  <si>
    <t>PERFILADO PARA BASE DE ESTRUCTURA</t>
  </si>
  <si>
    <t>2.4.2</t>
  </si>
  <si>
    <t>23FS</t>
  </si>
  <si>
    <t>FS25</t>
  </si>
  <si>
    <t>RELLENO Y COMPACTADO PARA ESTRUCTURAS</t>
  </si>
  <si>
    <t>2.4.3</t>
  </si>
  <si>
    <t>24FS</t>
  </si>
  <si>
    <t>FS26</t>
  </si>
  <si>
    <t>ELIMINACION DE MATERIAL EXCEDENTE A 100M.</t>
  </si>
  <si>
    <t>2.4.4</t>
  </si>
  <si>
    <t>25FS</t>
  </si>
  <si>
    <t>FS27;FS28;FS33</t>
  </si>
  <si>
    <t>GEOTEXTIL NO TEJIDO TIPO I</t>
  </si>
  <si>
    <t>2.4.5</t>
  </si>
  <si>
    <t>26FS</t>
  </si>
  <si>
    <t>GAVIONES TIPO CAJA 5.0x1.0x2.0</t>
  </si>
  <si>
    <t>2.4.6</t>
  </si>
  <si>
    <t>FS29;FS30;FS31</t>
  </si>
  <si>
    <t>GAVIONES TIPO CAJA 5.0x1.0x1.5</t>
  </si>
  <si>
    <t>2.4.7</t>
  </si>
  <si>
    <t>28FS</t>
  </si>
  <si>
    <t>GAVIONES TIPO CAJA 5.0x1.0x1.0</t>
  </si>
  <si>
    <t>2.4.8</t>
  </si>
  <si>
    <t>GAVIONES TIPO COLCHON 5.0x2.0x0.30M.</t>
  </si>
  <si>
    <t>2.4.9</t>
  </si>
  <si>
    <t>ENROCADO DE PROTESSION (AGUAS ARRIBA)</t>
  </si>
  <si>
    <t>2.5</t>
  </si>
  <si>
    <t>EXTRASSION, SELESSIÓN Y ACOPIO DE ROCA</t>
  </si>
  <si>
    <t>2.5.1</t>
  </si>
  <si>
    <t>CARGUIO Y TRANSPORTE DE ROCA (D=1KM)</t>
  </si>
  <si>
    <t>2.5.2</t>
  </si>
  <si>
    <t>33FS</t>
  </si>
  <si>
    <t>ACOMODADO DE ROCA EN LA UÑA</t>
  </si>
  <si>
    <t>2.5.3</t>
  </si>
  <si>
    <t>34FS</t>
  </si>
  <si>
    <t>ACOMODADO DE ROCA EN TALUD</t>
  </si>
  <si>
    <t>2.5.4</t>
  </si>
  <si>
    <t>SEGURIDAD Y SALUD OCUPACIONAL</t>
  </si>
  <si>
    <t>2.6</t>
  </si>
  <si>
    <t>SEGURIDAD Y SALUD</t>
  </si>
  <si>
    <t>2.6.1</t>
  </si>
  <si>
    <t>MITIGACION AMBIENTAL</t>
  </si>
  <si>
    <t>2.7</t>
  </si>
  <si>
    <t>MITIGACION DE IMPACTO AMBIENTAL</t>
  </si>
  <si>
    <t>2.7.1</t>
  </si>
  <si>
    <t>29FS</t>
  </si>
  <si>
    <t>PUENTE CHACPAR</t>
  </si>
  <si>
    <t>3</t>
  </si>
  <si>
    <t>3.1</t>
  </si>
  <si>
    <t>3.1.1</t>
  </si>
  <si>
    <t>FS44</t>
  </si>
  <si>
    <t>3.1.2</t>
  </si>
  <si>
    <t>43FS</t>
  </si>
  <si>
    <t>FS45;FS53</t>
  </si>
  <si>
    <t>3.1.3</t>
  </si>
  <si>
    <t>44FS</t>
  </si>
  <si>
    <t>FS47</t>
  </si>
  <si>
    <t>REPARACION DE ESTRUCTURA</t>
  </si>
  <si>
    <t>3.2</t>
  </si>
  <si>
    <t>ELIMINACION DE ROLLIZOS Y TABLONES</t>
  </si>
  <si>
    <t>3.2.1</t>
  </si>
  <si>
    <t>45FS</t>
  </si>
  <si>
    <t>FS48</t>
  </si>
  <si>
    <t>SUPERESTRUCTURA DE ROLLIZO (L=11.80 M.)</t>
  </si>
  <si>
    <t>3.2.2</t>
  </si>
  <si>
    <t>47FS</t>
  </si>
  <si>
    <t>FS49;FS50;FS51</t>
  </si>
  <si>
    <t>3.2.3</t>
  </si>
  <si>
    <t>48FS</t>
  </si>
  <si>
    <t>FS55</t>
  </si>
  <si>
    <t>24d</t>
  </si>
  <si>
    <t>ALCAYATA T-1</t>
  </si>
  <si>
    <t>3.2.4</t>
  </si>
  <si>
    <t>4d</t>
  </si>
  <si>
    <t>ALCAYATA T-2</t>
  </si>
  <si>
    <t>3.2.5</t>
  </si>
  <si>
    <t>3.3</t>
  </si>
  <si>
    <t>3.3.1</t>
  </si>
  <si>
    <t>3.4</t>
  </si>
  <si>
    <t>3.4.1</t>
  </si>
  <si>
    <t>49FS</t>
  </si>
  <si>
    <t>PUENTE LANCHAN</t>
  </si>
  <si>
    <t>4</t>
  </si>
  <si>
    <t>4.1</t>
  </si>
  <si>
    <t>4.1.1</t>
  </si>
  <si>
    <t>FS59</t>
  </si>
  <si>
    <t>4.1.2</t>
  </si>
  <si>
    <t>58FS</t>
  </si>
  <si>
    <t>FS60;FS68</t>
  </si>
  <si>
    <t>4.1.3</t>
  </si>
  <si>
    <t>59FS</t>
  </si>
  <si>
    <t>FS62</t>
  </si>
  <si>
    <t>4.2</t>
  </si>
  <si>
    <t>4.2.1</t>
  </si>
  <si>
    <t>60FS</t>
  </si>
  <si>
    <t>FS63</t>
  </si>
  <si>
    <t>SUPERESTRUCTURA DE ROLLIZO (L=6.80 M.)</t>
  </si>
  <si>
    <t>4.2.2</t>
  </si>
  <si>
    <t>62FS</t>
  </si>
  <si>
    <t>FS64;FS65;FS66</t>
  </si>
  <si>
    <t>4.2.3</t>
  </si>
  <si>
    <t>63FS</t>
  </si>
  <si>
    <t>FS70</t>
  </si>
  <si>
    <t>4.2.4</t>
  </si>
  <si>
    <t>4.2.5</t>
  </si>
  <si>
    <t>4.3</t>
  </si>
  <si>
    <t>4.3.1</t>
  </si>
  <si>
    <t>4.4</t>
  </si>
  <si>
    <t>4.4.1</t>
  </si>
  <si>
    <t>64FS</t>
  </si>
  <si>
    <t>CONSTRUCCION DE MADERAMEN</t>
  </si>
  <si>
    <t>ENROCADO DE PROTECCION (AGUAS ARRIBA)</t>
  </si>
  <si>
    <t>EXTRACCION, SELECCIÓN Y ACOPIO DE ROCA</t>
  </si>
  <si>
    <t>2.2.3.1</t>
  </si>
  <si>
    <t>2.2.3.2</t>
  </si>
  <si>
    <t>Planned duration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</si>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</sst>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8" formatCode="0.0"/>
    <numFmt numFmtId="179" formatCode="m/d/yyyy;@"/>
  </numFmts>
  <fonts count="14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9BBB59"/>
        <bgColor rgb="FF969696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  <xf numFmtId="0" fontId="6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166" fontId="2" fillId="5" borderId="1" xfId="0" applyNumberFormat="1" applyFont="1" applyFill="1" applyBorder="1" applyAlignment="1">
      <alignment wrapText="1"/>
    </xf>
    <xf numFmtId="0" fontId="5" fillId="0" borderId="0" xfId="0" applyFont="1"/>
    <xf numFmtId="0" fontId="2" fillId="10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top" wrapText="1"/>
    </xf>
    <xf numFmtId="167" fontId="7" fillId="11" borderId="2" xfId="0" applyNumberFormat="1" applyFont="1" applyFill="1" applyBorder="1" applyAlignment="1">
      <alignment horizontal="left" vertical="top" wrapText="1"/>
    </xf>
    <xf numFmtId="168" fontId="7" fillId="11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165" fontId="2" fillId="7" borderId="1" xfId="0" applyNumberFormat="1" applyFont="1" applyFill="1" applyBorder="1" applyAlignment="1">
      <alignment horizontal="center" vertical="center" wrapText="1"/>
    </xf>
    <xf numFmtId="167" fontId="7" fillId="11" borderId="2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right" vertical="top" wrapText="1"/>
    </xf>
    <xf numFmtId="0" fontId="7" fillId="10" borderId="2" xfId="0" applyFont="1" applyFill="1" applyBorder="1" applyAlignment="1">
      <alignment horizontal="left" vertical="top" wrapText="1"/>
    </xf>
    <xf numFmtId="165" fontId="7" fillId="10" borderId="2" xfId="1" applyNumberFormat="1" applyFont="1" applyFill="1" applyBorder="1" applyAlignment="1">
      <alignment horizontal="center" vertical="center" wrapText="1"/>
    </xf>
    <xf numFmtId="168" fontId="7" fillId="13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top" wrapText="1"/>
    </xf>
    <xf numFmtId="169" fontId="7" fillId="11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right" vertical="top" wrapText="1"/>
    </xf>
    <xf numFmtId="164" fontId="2" fillId="4" borderId="1" xfId="0" applyNumberFormat="1" applyFont="1" applyFill="1" applyBorder="1" applyAlignment="1">
      <alignment horizontal="center" wrapText="1"/>
    </xf>
    <xf numFmtId="164" fontId="7" fillId="11" borderId="2" xfId="0" applyNumberFormat="1" applyFont="1" applyFill="1" applyBorder="1" applyAlignment="1">
      <alignment horizontal="center" vertical="top" wrapText="1"/>
    </xf>
    <xf numFmtId="0" fontId="2" fillId="10" borderId="2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0" fontId="2" fillId="12" borderId="2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164" fontId="7" fillId="14" borderId="2" xfId="2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178" fontId="0" fillId="0" borderId="0" xfId="0" applyNumberFormat="1"/>
    <xf numFmtId="0" fontId="11" fillId="0" borderId="3" xfId="0" applyFont="1" applyBorder="1" applyAlignment="1">
      <alignment horizontal="center" vertical="center" wrapText="1"/>
    </xf>
    <xf numFmtId="164" fontId="0" fillId="0" borderId="0" xfId="0" applyNumberFormat="1"/>
    <xf numFmtId="0" fontId="12" fillId="0" borderId="0" xfId="0" applyFont="1" applyAlignment="1" applyProtection="1">
      <alignment vertical="center"/>
      <protection locked="0"/>
    </xf>
    <xf numFmtId="179" fontId="12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7">
    <cellStyle name="Comma" xfId="1" builtinId="3"/>
    <cellStyle name="Comma 2" xfId="5" xr:uid="{B457910B-AC17-422F-A060-89EB5BAEBEE5}"/>
    <cellStyle name="Normal" xfId="0" builtinId="0"/>
    <cellStyle name="Normal 2" xfId="3" xr:uid="{9F41CEF6-40E0-46BC-B1A8-F5699453B9ED}"/>
    <cellStyle name="Normal 3" xfId="6" xr:uid="{36C2A07D-167B-4240-9F8A-534F1B0AAFB1}"/>
    <cellStyle name="Normal 4" xfId="2" xr:uid="{00E963EC-2B00-41C3-A9AB-64061DE750DD}"/>
    <cellStyle name="Standaard 2" xfId="4" xr:uid="{5CDEED14-C95B-4A58-A45B-E8D07C173E43}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4"/>
  <sheetViews>
    <sheetView tabSelected="1" zoomScale="120" zoomScaleNormal="120" workbookViewId="0">
      <selection activeCell="B3" sqref="B3:B72"/>
    </sheetView>
  </sheetViews>
  <sheetFormatPr baseColWidth="10" defaultColWidth="8.83203125" defaultRowHeight="15" x14ac:dyDescent="0.2"/>
  <cols>
    <col min="1" max="1" width="3.6640625" customWidth="1"/>
    <col min="2" max="2" width="25.6640625" customWidth="1"/>
    <col min="3" max="3" width="11.6640625" bestFit="1" customWidth="1"/>
    <col min="4" max="5" width="16.6640625" customWidth="1"/>
    <col min="6" max="7" width="13.6640625" customWidth="1"/>
    <col min="8" max="8" width="8.6640625" customWidth="1"/>
    <col min="9" max="9" width="25.6640625" customWidth="1"/>
    <col min="10" max="12" width="10.6640625" customWidth="1"/>
    <col min="14" max="14" width="12.6640625" customWidth="1"/>
  </cols>
  <sheetData>
    <row r="1" spans="1:17" x14ac:dyDescent="0.2">
      <c r="A1" s="42" t="s">
        <v>0</v>
      </c>
      <c r="B1" s="42"/>
      <c r="C1" s="42"/>
      <c r="D1" s="42" t="s">
        <v>1</v>
      </c>
      <c r="E1" s="42"/>
      <c r="F1" s="42" t="s">
        <v>2</v>
      </c>
      <c r="G1" s="42"/>
      <c r="H1" s="42"/>
      <c r="I1" s="42" t="s">
        <v>3</v>
      </c>
      <c r="J1" s="42"/>
      <c r="K1" s="42" t="s">
        <v>4</v>
      </c>
      <c r="L1" s="42"/>
      <c r="M1" s="42"/>
      <c r="N1" s="42"/>
    </row>
    <row r="2" spans="1:17" ht="30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x14ac:dyDescent="0.2">
      <c r="A3" s="37">
        <v>0</v>
      </c>
      <c r="B3" s="15" t="s">
        <v>115</v>
      </c>
      <c r="C3" s="16" t="s">
        <v>18</v>
      </c>
      <c r="D3" s="17"/>
      <c r="E3" s="17"/>
      <c r="F3" s="35"/>
      <c r="G3" s="17"/>
      <c r="H3" s="17"/>
      <c r="I3" s="17"/>
      <c r="J3" s="17"/>
      <c r="K3" s="18"/>
      <c r="L3" s="17"/>
      <c r="M3" s="18"/>
      <c r="N3" s="19"/>
      <c r="Q3" s="5"/>
    </row>
    <row r="4" spans="1:17" x14ac:dyDescent="0.2">
      <c r="A4" s="38">
        <v>2</v>
      </c>
      <c r="B4" s="15" t="s">
        <v>116</v>
      </c>
      <c r="C4" s="16" t="s">
        <v>19</v>
      </c>
      <c r="D4" s="17"/>
      <c r="E4" s="17"/>
      <c r="F4" s="35"/>
      <c r="G4" s="17"/>
      <c r="H4" s="20"/>
      <c r="I4" s="17"/>
      <c r="J4" s="17"/>
      <c r="K4" s="18"/>
      <c r="L4" s="17"/>
      <c r="M4" s="18"/>
      <c r="N4" s="19"/>
      <c r="Q4" s="5"/>
    </row>
    <row r="5" spans="1:17" ht="24" x14ac:dyDescent="0.2">
      <c r="A5" s="39">
        <v>3</v>
      </c>
      <c r="B5" s="21" t="s">
        <v>117</v>
      </c>
      <c r="C5" s="16" t="s">
        <v>20</v>
      </c>
      <c r="D5" s="22"/>
      <c r="E5" s="22" t="s">
        <v>118</v>
      </c>
      <c r="F5" s="34">
        <v>44061</v>
      </c>
      <c r="G5" s="6"/>
      <c r="H5" s="22" t="s">
        <v>119</v>
      </c>
      <c r="I5" s="4" t="s">
        <v>22</v>
      </c>
      <c r="J5" s="7"/>
      <c r="K5" s="23">
        <v>16275</v>
      </c>
      <c r="L5" s="24"/>
      <c r="M5" s="23">
        <v>0</v>
      </c>
      <c r="N5" s="7"/>
      <c r="Q5" s="5"/>
    </row>
    <row r="6" spans="1:17" x14ac:dyDescent="0.2">
      <c r="A6" s="38">
        <v>4</v>
      </c>
      <c r="B6" s="15" t="s">
        <v>120</v>
      </c>
      <c r="C6" s="16" t="s">
        <v>121</v>
      </c>
      <c r="D6" s="17"/>
      <c r="E6" s="17"/>
      <c r="F6" s="35"/>
      <c r="G6" s="17"/>
      <c r="H6" s="20"/>
      <c r="I6" s="17"/>
      <c r="J6" s="17"/>
      <c r="K6" s="25"/>
      <c r="L6" s="20"/>
      <c r="M6" s="25"/>
      <c r="N6" s="19"/>
      <c r="Q6" s="5"/>
    </row>
    <row r="7" spans="1:17" x14ac:dyDescent="0.2">
      <c r="A7" s="38">
        <v>5</v>
      </c>
      <c r="B7" s="15" t="s">
        <v>122</v>
      </c>
      <c r="C7" s="16" t="s">
        <v>123</v>
      </c>
      <c r="D7" s="17"/>
      <c r="E7" s="17"/>
      <c r="F7" s="35"/>
      <c r="G7" s="17"/>
      <c r="H7" s="20"/>
      <c r="I7" s="17"/>
      <c r="J7" s="17"/>
      <c r="K7" s="25"/>
      <c r="L7" s="20"/>
      <c r="M7" s="25"/>
      <c r="N7" s="19"/>
      <c r="Q7" s="5"/>
    </row>
    <row r="8" spans="1:17" x14ac:dyDescent="0.2">
      <c r="A8" s="39">
        <v>6</v>
      </c>
      <c r="B8" s="21" t="s">
        <v>124</v>
      </c>
      <c r="C8" s="21" t="s">
        <v>125</v>
      </c>
      <c r="D8" s="22" t="s">
        <v>23</v>
      </c>
      <c r="E8" s="22"/>
      <c r="F8" s="34">
        <v>44062</v>
      </c>
      <c r="G8" s="6"/>
      <c r="H8" s="22" t="s">
        <v>119</v>
      </c>
      <c r="I8" s="4" t="s">
        <v>36</v>
      </c>
      <c r="J8" s="7"/>
      <c r="K8" s="23">
        <v>450</v>
      </c>
      <c r="L8" s="24"/>
      <c r="M8" s="23">
        <v>0</v>
      </c>
      <c r="N8" s="7"/>
      <c r="Q8" s="5"/>
    </row>
    <row r="9" spans="1:17" x14ac:dyDescent="0.2">
      <c r="A9" s="39">
        <v>7</v>
      </c>
      <c r="B9" s="21" t="s">
        <v>126</v>
      </c>
      <c r="C9" s="21" t="s">
        <v>127</v>
      </c>
      <c r="D9" s="22" t="s">
        <v>23</v>
      </c>
      <c r="E9" s="22" t="s">
        <v>128</v>
      </c>
      <c r="F9" s="34">
        <v>44062</v>
      </c>
      <c r="G9" s="6"/>
      <c r="H9" s="22" t="s">
        <v>129</v>
      </c>
      <c r="I9" s="4" t="s">
        <v>27</v>
      </c>
      <c r="J9" s="7"/>
      <c r="K9" s="23">
        <v>5779.8</v>
      </c>
      <c r="L9" s="24"/>
      <c r="M9" s="23">
        <v>0</v>
      </c>
      <c r="N9" s="7"/>
      <c r="Q9" s="5"/>
    </row>
    <row r="10" spans="1:17" x14ac:dyDescent="0.2">
      <c r="A10" s="40">
        <v>8</v>
      </c>
      <c r="B10" s="21" t="s">
        <v>130</v>
      </c>
      <c r="C10" s="21" t="s">
        <v>131</v>
      </c>
      <c r="D10" s="22" t="s">
        <v>132</v>
      </c>
      <c r="E10" s="22" t="s">
        <v>133</v>
      </c>
      <c r="F10" s="34">
        <v>44064</v>
      </c>
      <c r="G10" s="6"/>
      <c r="H10" s="22" t="s">
        <v>134</v>
      </c>
      <c r="I10" s="4" t="s">
        <v>22</v>
      </c>
      <c r="J10" s="7"/>
      <c r="K10" s="23">
        <v>1200</v>
      </c>
      <c r="L10" s="24"/>
      <c r="M10" s="23">
        <v>0</v>
      </c>
      <c r="N10" s="7"/>
      <c r="Q10" s="5"/>
    </row>
    <row r="11" spans="1:17" x14ac:dyDescent="0.2">
      <c r="A11" s="40">
        <v>9</v>
      </c>
      <c r="B11" s="21" t="s">
        <v>135</v>
      </c>
      <c r="C11" s="21" t="s">
        <v>136</v>
      </c>
      <c r="D11" s="22" t="s">
        <v>137</v>
      </c>
      <c r="E11" s="22"/>
      <c r="F11" s="34">
        <v>44067</v>
      </c>
      <c r="G11" s="6"/>
      <c r="H11" s="22" t="s">
        <v>129</v>
      </c>
      <c r="I11" s="4" t="s">
        <v>27</v>
      </c>
      <c r="J11" s="7"/>
      <c r="K11" s="23">
        <v>988</v>
      </c>
      <c r="L11" s="24"/>
      <c r="M11" s="23">
        <v>0</v>
      </c>
      <c r="N11" s="7"/>
      <c r="Q11" s="5"/>
    </row>
    <row r="12" spans="1:17" x14ac:dyDescent="0.2">
      <c r="A12" s="40">
        <v>10</v>
      </c>
      <c r="B12" s="21" t="s">
        <v>138</v>
      </c>
      <c r="C12" s="21" t="s">
        <v>139</v>
      </c>
      <c r="D12" s="22"/>
      <c r="E12" s="22" t="s">
        <v>140</v>
      </c>
      <c r="F12" s="34">
        <v>44061</v>
      </c>
      <c r="G12" s="6"/>
      <c r="H12" s="22" t="s">
        <v>21</v>
      </c>
      <c r="I12" s="15" t="s">
        <v>25</v>
      </c>
      <c r="J12" s="7"/>
      <c r="K12" s="23">
        <v>11243.6</v>
      </c>
      <c r="L12" s="24"/>
      <c r="M12" s="23">
        <v>0</v>
      </c>
      <c r="N12" s="7"/>
      <c r="Q12" s="5"/>
    </row>
    <row r="13" spans="1:17" x14ac:dyDescent="0.2">
      <c r="A13" s="36">
        <v>11</v>
      </c>
      <c r="B13" s="15" t="s">
        <v>141</v>
      </c>
      <c r="C13" s="16" t="s">
        <v>142</v>
      </c>
      <c r="D13" s="17"/>
      <c r="E13" s="17"/>
      <c r="F13" s="35"/>
      <c r="G13" s="17"/>
      <c r="H13" s="20"/>
      <c r="I13" s="17"/>
      <c r="J13" s="17"/>
      <c r="K13" s="25"/>
      <c r="L13" s="20"/>
      <c r="M13" s="25"/>
      <c r="N13" s="19"/>
      <c r="Q13" s="5"/>
    </row>
    <row r="14" spans="1:17" ht="24" x14ac:dyDescent="0.2">
      <c r="A14" s="40">
        <v>12</v>
      </c>
      <c r="B14" s="21" t="s">
        <v>143</v>
      </c>
      <c r="C14" s="21" t="s">
        <v>144</v>
      </c>
      <c r="D14" s="22" t="s">
        <v>145</v>
      </c>
      <c r="E14" s="22" t="s">
        <v>146</v>
      </c>
      <c r="F14" s="34">
        <v>44068</v>
      </c>
      <c r="G14" s="6"/>
      <c r="H14" s="22" t="s">
        <v>73</v>
      </c>
      <c r="I14" s="4" t="s">
        <v>147</v>
      </c>
      <c r="J14" s="7"/>
      <c r="K14" s="23">
        <v>5325.2</v>
      </c>
      <c r="L14" s="24"/>
      <c r="M14" s="23">
        <v>0</v>
      </c>
      <c r="N14" s="7"/>
      <c r="Q14" s="5"/>
    </row>
    <row r="15" spans="1:17" ht="24" x14ac:dyDescent="0.2">
      <c r="A15" s="40">
        <v>13</v>
      </c>
      <c r="B15" s="21" t="s">
        <v>148</v>
      </c>
      <c r="C15" s="21" t="s">
        <v>149</v>
      </c>
      <c r="D15" s="22" t="s">
        <v>150</v>
      </c>
      <c r="E15" s="22" t="s">
        <v>26</v>
      </c>
      <c r="F15" s="34">
        <v>44073</v>
      </c>
      <c r="G15" s="6"/>
      <c r="H15" s="22" t="s">
        <v>151</v>
      </c>
      <c r="I15" s="4" t="s">
        <v>30</v>
      </c>
      <c r="J15" s="7"/>
      <c r="K15" s="23">
        <v>4105.5200000000004</v>
      </c>
      <c r="L15" s="24"/>
      <c r="M15" s="23">
        <v>0</v>
      </c>
      <c r="N15" s="7"/>
      <c r="Q15" s="5"/>
    </row>
    <row r="16" spans="1:17" ht="24" x14ac:dyDescent="0.2">
      <c r="A16" s="38">
        <v>14</v>
      </c>
      <c r="B16" s="15" t="s">
        <v>152</v>
      </c>
      <c r="C16" s="16" t="s">
        <v>153</v>
      </c>
      <c r="D16" s="20"/>
      <c r="E16" s="20"/>
      <c r="F16" s="20"/>
      <c r="G16" s="20"/>
      <c r="H16" s="20"/>
      <c r="I16" s="20"/>
      <c r="J16" s="20"/>
      <c r="K16" s="20"/>
      <c r="L16" s="20"/>
      <c r="M16" s="25"/>
      <c r="N16" s="19"/>
      <c r="Q16" s="5"/>
    </row>
    <row r="17" spans="1:17" x14ac:dyDescent="0.2">
      <c r="A17" s="40">
        <v>15</v>
      </c>
      <c r="B17" s="21" t="s">
        <v>155</v>
      </c>
      <c r="C17" s="21" t="s">
        <v>292</v>
      </c>
      <c r="D17" s="22" t="s">
        <v>154</v>
      </c>
      <c r="E17" s="22" t="s">
        <v>29</v>
      </c>
      <c r="F17" s="34">
        <v>44079</v>
      </c>
      <c r="G17" s="6"/>
      <c r="H17" s="22" t="s">
        <v>21</v>
      </c>
      <c r="I17" s="4" t="s">
        <v>147</v>
      </c>
      <c r="J17" s="7"/>
      <c r="K17" s="23">
        <v>15108.880000000001</v>
      </c>
      <c r="L17" s="24"/>
      <c r="M17" s="23">
        <v>0</v>
      </c>
      <c r="N17" s="7"/>
      <c r="Q17" s="5"/>
    </row>
    <row r="18" spans="1:17" x14ac:dyDescent="0.2">
      <c r="A18" s="40">
        <v>16</v>
      </c>
      <c r="B18" s="21" t="s">
        <v>156</v>
      </c>
      <c r="C18" s="21" t="s">
        <v>293</v>
      </c>
      <c r="D18" s="22" t="s">
        <v>157</v>
      </c>
      <c r="E18" s="22" t="s">
        <v>158</v>
      </c>
      <c r="F18" s="34">
        <v>44086</v>
      </c>
      <c r="G18" s="6"/>
      <c r="H18" s="22" t="s">
        <v>24</v>
      </c>
      <c r="I18" s="4" t="s">
        <v>147</v>
      </c>
      <c r="J18" s="7"/>
      <c r="K18" s="23">
        <v>59414.720000000001</v>
      </c>
      <c r="L18" s="24"/>
      <c r="M18" s="23">
        <v>0</v>
      </c>
      <c r="N18" s="7"/>
      <c r="Q18" s="5"/>
    </row>
    <row r="19" spans="1:17" x14ac:dyDescent="0.2">
      <c r="A19" s="36">
        <v>17</v>
      </c>
      <c r="B19" s="15" t="s">
        <v>159</v>
      </c>
      <c r="C19" s="16" t="s">
        <v>160</v>
      </c>
      <c r="D19" s="17"/>
      <c r="E19" s="17"/>
      <c r="F19" s="35"/>
      <c r="G19" s="17"/>
      <c r="H19" s="20"/>
      <c r="I19" s="17"/>
      <c r="J19" s="17"/>
      <c r="K19" s="25"/>
      <c r="L19" s="20"/>
      <c r="M19" s="25"/>
      <c r="N19" s="19"/>
      <c r="Q19" s="5"/>
    </row>
    <row r="20" spans="1:17" x14ac:dyDescent="0.2">
      <c r="A20" s="40">
        <v>18</v>
      </c>
      <c r="B20" s="21" t="s">
        <v>161</v>
      </c>
      <c r="C20" s="21" t="s">
        <v>162</v>
      </c>
      <c r="D20" s="22" t="s">
        <v>163</v>
      </c>
      <c r="E20" s="22" t="s">
        <v>164</v>
      </c>
      <c r="F20" s="34">
        <v>44096</v>
      </c>
      <c r="G20" s="6"/>
      <c r="H20" s="22" t="s">
        <v>73</v>
      </c>
      <c r="I20" s="4" t="s">
        <v>165</v>
      </c>
      <c r="J20" s="7"/>
      <c r="K20" s="23">
        <v>4304.28</v>
      </c>
      <c r="L20" s="24"/>
      <c r="M20" s="23">
        <v>0</v>
      </c>
      <c r="N20" s="7"/>
      <c r="Q20" s="5"/>
    </row>
    <row r="21" spans="1:17" x14ac:dyDescent="0.2">
      <c r="A21" s="40">
        <v>19</v>
      </c>
      <c r="B21" s="21" t="s">
        <v>166</v>
      </c>
      <c r="C21" s="21" t="s">
        <v>167</v>
      </c>
      <c r="D21" s="22" t="s">
        <v>168</v>
      </c>
      <c r="E21" s="22" t="s">
        <v>31</v>
      </c>
      <c r="F21" s="34">
        <v>44101</v>
      </c>
      <c r="G21" s="6"/>
      <c r="H21" s="22" t="s">
        <v>73</v>
      </c>
      <c r="I21" s="4" t="s">
        <v>30</v>
      </c>
      <c r="J21" s="7"/>
      <c r="K21" s="23">
        <v>20411.64</v>
      </c>
      <c r="L21" s="24"/>
      <c r="M21" s="23">
        <v>0</v>
      </c>
      <c r="N21" s="7"/>
      <c r="Q21" s="5"/>
    </row>
    <row r="22" spans="1:17" x14ac:dyDescent="0.2">
      <c r="A22" s="40">
        <v>20</v>
      </c>
      <c r="B22" s="21" t="s">
        <v>169</v>
      </c>
      <c r="C22" s="21" t="s">
        <v>170</v>
      </c>
      <c r="D22" s="22" t="s">
        <v>168</v>
      </c>
      <c r="E22" s="22"/>
      <c r="F22" s="34">
        <v>44101</v>
      </c>
      <c r="G22" s="6"/>
      <c r="H22" s="22" t="s">
        <v>129</v>
      </c>
      <c r="I22" s="4" t="s">
        <v>165</v>
      </c>
      <c r="J22" s="7"/>
      <c r="K22" s="23">
        <v>2556.64</v>
      </c>
      <c r="L22" s="24"/>
      <c r="M22" s="23">
        <v>0</v>
      </c>
      <c r="N22" s="7"/>
      <c r="Q22" s="5"/>
    </row>
    <row r="23" spans="1:17" x14ac:dyDescent="0.2">
      <c r="A23" s="40">
        <v>21</v>
      </c>
      <c r="B23" s="21" t="s">
        <v>171</v>
      </c>
      <c r="C23" s="21" t="s">
        <v>172</v>
      </c>
      <c r="D23" s="22" t="s">
        <v>173</v>
      </c>
      <c r="E23" s="22"/>
      <c r="F23" s="34">
        <v>44106</v>
      </c>
      <c r="G23" s="6"/>
      <c r="H23" s="22" t="s">
        <v>129</v>
      </c>
      <c r="I23" s="4" t="s">
        <v>22</v>
      </c>
      <c r="J23" s="7"/>
      <c r="K23" s="23">
        <v>1384.8</v>
      </c>
      <c r="L23" s="24"/>
      <c r="M23" s="23">
        <v>0</v>
      </c>
      <c r="N23" s="7"/>
      <c r="Q23" s="5"/>
    </row>
    <row r="24" spans="1:17" x14ac:dyDescent="0.2">
      <c r="A24" s="38">
        <v>22</v>
      </c>
      <c r="B24" s="15" t="s">
        <v>174</v>
      </c>
      <c r="C24" s="16" t="s">
        <v>175</v>
      </c>
      <c r="D24" s="17"/>
      <c r="E24" s="17"/>
      <c r="F24" s="35"/>
      <c r="G24" s="17"/>
      <c r="H24" s="20"/>
      <c r="I24" s="17"/>
      <c r="J24" s="17"/>
      <c r="K24" s="25"/>
      <c r="L24" s="20"/>
      <c r="M24" s="25"/>
      <c r="N24" s="19"/>
      <c r="Q24" s="5"/>
    </row>
    <row r="25" spans="1:17" ht="24" x14ac:dyDescent="0.2">
      <c r="A25" s="39">
        <v>23</v>
      </c>
      <c r="B25" s="21" t="s">
        <v>176</v>
      </c>
      <c r="C25" s="22" t="s">
        <v>177</v>
      </c>
      <c r="D25" s="22" t="s">
        <v>163</v>
      </c>
      <c r="E25" s="22" t="s">
        <v>178</v>
      </c>
      <c r="F25" s="34">
        <v>44096</v>
      </c>
      <c r="G25" s="6"/>
      <c r="H25" s="22" t="s">
        <v>134</v>
      </c>
      <c r="I25" s="4" t="s">
        <v>30</v>
      </c>
      <c r="J25" s="7"/>
      <c r="K25" s="23">
        <v>2022.24</v>
      </c>
      <c r="L25" s="24"/>
      <c r="M25" s="23">
        <v>0</v>
      </c>
      <c r="N25" s="7"/>
      <c r="Q25" s="5"/>
    </row>
    <row r="26" spans="1:17" x14ac:dyDescent="0.2">
      <c r="A26" s="40">
        <v>24</v>
      </c>
      <c r="B26" s="21" t="s">
        <v>179</v>
      </c>
      <c r="C26" s="22" t="s">
        <v>180</v>
      </c>
      <c r="D26" s="22" t="s">
        <v>181</v>
      </c>
      <c r="E26" s="22" t="s">
        <v>182</v>
      </c>
      <c r="F26" s="34">
        <v>44099</v>
      </c>
      <c r="G26" s="6"/>
      <c r="H26" s="22" t="s">
        <v>134</v>
      </c>
      <c r="I26" s="4" t="s">
        <v>36</v>
      </c>
      <c r="J26" s="7"/>
      <c r="K26" s="23">
        <v>835.65</v>
      </c>
      <c r="L26" s="24"/>
      <c r="M26" s="23">
        <v>0</v>
      </c>
      <c r="N26" s="7"/>
      <c r="Q26" s="5"/>
    </row>
    <row r="27" spans="1:17" ht="24" x14ac:dyDescent="0.2">
      <c r="A27" s="40">
        <v>25</v>
      </c>
      <c r="B27" s="21" t="s">
        <v>183</v>
      </c>
      <c r="C27" s="22" t="s">
        <v>184</v>
      </c>
      <c r="D27" s="22" t="s">
        <v>185</v>
      </c>
      <c r="E27" s="22" t="s">
        <v>186</v>
      </c>
      <c r="F27" s="34">
        <v>44102</v>
      </c>
      <c r="G27" s="6"/>
      <c r="H27" s="22" t="s">
        <v>134</v>
      </c>
      <c r="I27" s="4" t="s">
        <v>22</v>
      </c>
      <c r="J27" s="7"/>
      <c r="K27" s="23">
        <v>1278.72</v>
      </c>
      <c r="L27" s="24"/>
      <c r="M27" s="23">
        <v>0</v>
      </c>
      <c r="N27" s="7"/>
      <c r="Q27" s="5"/>
    </row>
    <row r="28" spans="1:17" ht="24" x14ac:dyDescent="0.2">
      <c r="A28" s="40">
        <v>26</v>
      </c>
      <c r="B28" s="21" t="s">
        <v>187</v>
      </c>
      <c r="C28" s="22" t="s">
        <v>188</v>
      </c>
      <c r="D28" s="22" t="s">
        <v>189</v>
      </c>
      <c r="E28" s="22" t="s">
        <v>190</v>
      </c>
      <c r="F28" s="34">
        <v>44105</v>
      </c>
      <c r="G28" s="6"/>
      <c r="H28" s="22" t="s">
        <v>119</v>
      </c>
      <c r="I28" s="4" t="s">
        <v>25</v>
      </c>
      <c r="J28" s="7"/>
      <c r="K28" s="23">
        <v>1229.56</v>
      </c>
      <c r="L28" s="24"/>
      <c r="M28" s="23">
        <v>0</v>
      </c>
      <c r="N28" s="7"/>
      <c r="Q28" s="5"/>
    </row>
    <row r="29" spans="1:17" x14ac:dyDescent="0.2">
      <c r="A29" s="40">
        <v>27</v>
      </c>
      <c r="B29" s="21" t="s">
        <v>191</v>
      </c>
      <c r="C29" s="22" t="s">
        <v>192</v>
      </c>
      <c r="D29" s="22" t="s">
        <v>193</v>
      </c>
      <c r="E29" s="22"/>
      <c r="F29" s="34">
        <v>44106</v>
      </c>
      <c r="G29" s="6"/>
      <c r="H29" s="22" t="s">
        <v>129</v>
      </c>
      <c r="I29" s="4" t="s">
        <v>22</v>
      </c>
      <c r="J29" s="7"/>
      <c r="K29" s="23">
        <v>260.45999999999998</v>
      </c>
      <c r="L29" s="24"/>
      <c r="M29" s="23">
        <v>0</v>
      </c>
      <c r="N29" s="7"/>
      <c r="Q29" s="5"/>
    </row>
    <row r="30" spans="1:17" x14ac:dyDescent="0.2">
      <c r="A30" s="40">
        <v>28</v>
      </c>
      <c r="B30" s="21" t="s">
        <v>194</v>
      </c>
      <c r="C30" s="22" t="s">
        <v>195</v>
      </c>
      <c r="D30" s="22" t="s">
        <v>193</v>
      </c>
      <c r="E30" s="22" t="s">
        <v>196</v>
      </c>
      <c r="F30" s="34">
        <v>44106</v>
      </c>
      <c r="G30" s="6"/>
      <c r="H30" s="22" t="s">
        <v>134</v>
      </c>
      <c r="I30" s="4" t="s">
        <v>30</v>
      </c>
      <c r="J30" s="7"/>
      <c r="K30" s="23">
        <v>10008.6</v>
      </c>
      <c r="L30" s="24"/>
      <c r="M30" s="23">
        <v>0</v>
      </c>
      <c r="N30" s="7"/>
      <c r="Q30" s="5"/>
    </row>
    <row r="31" spans="1:17" x14ac:dyDescent="0.2">
      <c r="A31" s="40">
        <v>29</v>
      </c>
      <c r="B31" s="21" t="s">
        <v>197</v>
      </c>
      <c r="C31" s="22" t="s">
        <v>198</v>
      </c>
      <c r="D31" s="22" t="s">
        <v>199</v>
      </c>
      <c r="E31" s="22" t="s">
        <v>35</v>
      </c>
      <c r="F31" s="34">
        <v>44109</v>
      </c>
      <c r="G31" s="6"/>
      <c r="H31" s="22" t="s">
        <v>21</v>
      </c>
      <c r="I31" s="4" t="s">
        <v>25</v>
      </c>
      <c r="J31" s="7"/>
      <c r="K31" s="23">
        <v>23678.33</v>
      </c>
      <c r="L31" s="24"/>
      <c r="M31" s="23">
        <v>0</v>
      </c>
      <c r="N31" s="7"/>
      <c r="Q31" s="5"/>
    </row>
    <row r="32" spans="1:17" x14ac:dyDescent="0.2">
      <c r="A32" s="40">
        <v>30</v>
      </c>
      <c r="B32" s="21" t="s">
        <v>200</v>
      </c>
      <c r="C32" s="22" t="s">
        <v>201</v>
      </c>
      <c r="D32" s="22" t="s">
        <v>199</v>
      </c>
      <c r="E32" s="22"/>
      <c r="F32" s="34">
        <v>44109</v>
      </c>
      <c r="G32" s="6"/>
      <c r="H32" s="22" t="s">
        <v>134</v>
      </c>
      <c r="I32" s="4" t="s">
        <v>22</v>
      </c>
      <c r="J32" s="7"/>
      <c r="K32" s="23">
        <v>5616.45</v>
      </c>
      <c r="L32" s="24"/>
      <c r="M32" s="23">
        <v>0</v>
      </c>
      <c r="N32" s="7"/>
      <c r="Q32" s="5"/>
    </row>
    <row r="33" spans="1:17" x14ac:dyDescent="0.2">
      <c r="A33" s="40">
        <v>31</v>
      </c>
      <c r="B33" s="21" t="s">
        <v>202</v>
      </c>
      <c r="C33" s="22" t="s">
        <v>203</v>
      </c>
      <c r="D33" s="22" t="s">
        <v>199</v>
      </c>
      <c r="E33" s="22"/>
      <c r="F33" s="34">
        <v>44109</v>
      </c>
      <c r="G33" s="6"/>
      <c r="H33" s="22" t="s">
        <v>129</v>
      </c>
      <c r="I33" s="4" t="s">
        <v>22</v>
      </c>
      <c r="J33" s="7"/>
      <c r="K33" s="23">
        <v>3925.8</v>
      </c>
      <c r="L33" s="24"/>
      <c r="M33" s="23">
        <v>0</v>
      </c>
      <c r="N33" s="7"/>
      <c r="Q33" s="5"/>
    </row>
    <row r="34" spans="1:17" x14ac:dyDescent="0.2">
      <c r="A34" s="38">
        <v>32</v>
      </c>
      <c r="B34" s="15" t="s">
        <v>204</v>
      </c>
      <c r="C34" s="16" t="s">
        <v>205</v>
      </c>
      <c r="D34" s="17"/>
      <c r="E34" s="17"/>
      <c r="F34" s="35"/>
      <c r="G34" s="17"/>
      <c r="H34" s="20"/>
      <c r="I34" s="17"/>
      <c r="J34" s="17"/>
      <c r="K34" s="25"/>
      <c r="L34" s="20"/>
      <c r="M34" s="25"/>
      <c r="N34" s="19"/>
      <c r="Q34" s="5"/>
    </row>
    <row r="35" spans="1:17" x14ac:dyDescent="0.2">
      <c r="A35" s="40">
        <v>33</v>
      </c>
      <c r="B35" s="21" t="s">
        <v>206</v>
      </c>
      <c r="C35" s="22" t="s">
        <v>207</v>
      </c>
      <c r="D35" s="22" t="s">
        <v>193</v>
      </c>
      <c r="E35" s="22" t="s">
        <v>34</v>
      </c>
      <c r="F35" s="34">
        <v>44106</v>
      </c>
      <c r="G35" s="6"/>
      <c r="H35" s="22" t="s">
        <v>129</v>
      </c>
      <c r="I35" s="4" t="s">
        <v>22</v>
      </c>
      <c r="J35" s="7"/>
      <c r="K35" s="23">
        <v>274.8</v>
      </c>
      <c r="L35" s="24"/>
      <c r="M35" s="23">
        <v>0</v>
      </c>
      <c r="N35" s="7"/>
      <c r="Q35" s="5"/>
    </row>
    <row r="36" spans="1:17" x14ac:dyDescent="0.2">
      <c r="A36" s="40">
        <v>34</v>
      </c>
      <c r="B36" s="21" t="s">
        <v>208</v>
      </c>
      <c r="C36" s="22" t="s">
        <v>209</v>
      </c>
      <c r="D36" s="22" t="s">
        <v>210</v>
      </c>
      <c r="E36" s="22" t="s">
        <v>33</v>
      </c>
      <c r="F36" s="34">
        <v>44108</v>
      </c>
      <c r="G36" s="6"/>
      <c r="H36" s="22" t="s">
        <v>129</v>
      </c>
      <c r="I36" s="15" t="s">
        <v>25</v>
      </c>
      <c r="J36" s="7"/>
      <c r="K36" s="23">
        <v>375.6</v>
      </c>
      <c r="L36" s="24"/>
      <c r="M36" s="23">
        <v>0</v>
      </c>
      <c r="N36" s="7"/>
      <c r="Q36" s="5"/>
    </row>
    <row r="37" spans="1:17" x14ac:dyDescent="0.2">
      <c r="A37" s="40">
        <v>35</v>
      </c>
      <c r="B37" s="21" t="s">
        <v>211</v>
      </c>
      <c r="C37" s="22" t="s">
        <v>212</v>
      </c>
      <c r="D37" s="22" t="s">
        <v>213</v>
      </c>
      <c r="E37" s="22"/>
      <c r="F37" s="34">
        <v>44110</v>
      </c>
      <c r="G37" s="6"/>
      <c r="H37" s="22" t="s">
        <v>119</v>
      </c>
      <c r="I37" s="15" t="s">
        <v>36</v>
      </c>
      <c r="J37" s="7"/>
      <c r="K37" s="23">
        <v>81.45</v>
      </c>
      <c r="L37" s="24"/>
      <c r="M37" s="23">
        <v>0</v>
      </c>
      <c r="N37" s="7"/>
      <c r="Q37" s="5"/>
    </row>
    <row r="38" spans="1:17" x14ac:dyDescent="0.2">
      <c r="A38" s="40">
        <v>36</v>
      </c>
      <c r="B38" s="21" t="s">
        <v>214</v>
      </c>
      <c r="C38" s="22" t="s">
        <v>215</v>
      </c>
      <c r="D38" s="22" t="s">
        <v>213</v>
      </c>
      <c r="E38" s="22"/>
      <c r="F38" s="34">
        <v>44110</v>
      </c>
      <c r="G38" s="6"/>
      <c r="H38" s="22" t="s">
        <v>119</v>
      </c>
      <c r="I38" s="15" t="s">
        <v>28</v>
      </c>
      <c r="J38" s="7"/>
      <c r="K38" s="23">
        <v>244.13</v>
      </c>
      <c r="L38" s="24"/>
      <c r="M38" s="23">
        <v>0</v>
      </c>
      <c r="N38" s="7"/>
      <c r="Q38" s="5"/>
    </row>
    <row r="39" spans="1:17" x14ac:dyDescent="0.2">
      <c r="A39" s="36">
        <v>37</v>
      </c>
      <c r="B39" s="15" t="s">
        <v>216</v>
      </c>
      <c r="C39" s="16" t="s">
        <v>217</v>
      </c>
      <c r="D39" s="17"/>
      <c r="E39" s="17"/>
      <c r="F39" s="35"/>
      <c r="G39" s="17"/>
      <c r="H39" s="20"/>
      <c r="I39" s="17"/>
      <c r="J39" s="17"/>
      <c r="K39" s="25"/>
      <c r="L39" s="20"/>
      <c r="M39" s="25"/>
      <c r="N39" s="19"/>
      <c r="Q39" s="5"/>
    </row>
    <row r="40" spans="1:17" x14ac:dyDescent="0.2">
      <c r="A40" s="40">
        <v>38</v>
      </c>
      <c r="B40" s="21" t="s">
        <v>218</v>
      </c>
      <c r="C40" s="22" t="s">
        <v>219</v>
      </c>
      <c r="D40" s="22" t="s">
        <v>132</v>
      </c>
      <c r="E40" s="22"/>
      <c r="F40" s="34">
        <v>44064</v>
      </c>
      <c r="G40" s="6"/>
      <c r="H40" s="22" t="s">
        <v>73</v>
      </c>
      <c r="I40" s="4" t="s">
        <v>30</v>
      </c>
      <c r="J40" s="7"/>
      <c r="K40" s="23">
        <v>1000</v>
      </c>
      <c r="L40" s="24"/>
      <c r="M40" s="23">
        <v>0</v>
      </c>
      <c r="N40" s="7"/>
      <c r="Q40" s="5"/>
    </row>
    <row r="41" spans="1:17" x14ac:dyDescent="0.2">
      <c r="A41" s="36">
        <v>39</v>
      </c>
      <c r="B41" s="15" t="s">
        <v>220</v>
      </c>
      <c r="C41" s="16" t="s">
        <v>221</v>
      </c>
      <c r="D41" s="17"/>
      <c r="E41" s="17"/>
      <c r="F41" s="35"/>
      <c r="G41" s="17"/>
      <c r="H41" s="20"/>
      <c r="I41" s="17"/>
      <c r="J41" s="17"/>
      <c r="K41" s="25"/>
      <c r="L41" s="20"/>
      <c r="M41" s="25"/>
      <c r="N41" s="19"/>
      <c r="Q41" s="5"/>
    </row>
    <row r="42" spans="1:17" x14ac:dyDescent="0.2">
      <c r="A42" s="40">
        <v>40</v>
      </c>
      <c r="B42" s="21" t="s">
        <v>222</v>
      </c>
      <c r="C42" s="22" t="s">
        <v>223</v>
      </c>
      <c r="D42" s="22" t="s">
        <v>224</v>
      </c>
      <c r="E42" s="22"/>
      <c r="F42" s="34">
        <v>44116</v>
      </c>
      <c r="G42" s="6"/>
      <c r="H42" s="22" t="s">
        <v>119</v>
      </c>
      <c r="I42" s="4" t="s">
        <v>22</v>
      </c>
      <c r="J42" s="7"/>
      <c r="K42" s="23">
        <v>1000</v>
      </c>
      <c r="L42" s="24"/>
      <c r="M42" s="23">
        <v>0</v>
      </c>
      <c r="N42" s="7"/>
      <c r="Q42" s="5"/>
    </row>
    <row r="43" spans="1:17" x14ac:dyDescent="0.2">
      <c r="A43" s="38">
        <v>41</v>
      </c>
      <c r="B43" s="15" t="s">
        <v>225</v>
      </c>
      <c r="C43" s="16" t="s">
        <v>226</v>
      </c>
      <c r="D43" s="17"/>
      <c r="E43" s="17"/>
      <c r="F43" s="35"/>
      <c r="G43" s="17"/>
      <c r="H43" s="20"/>
      <c r="I43" s="17"/>
      <c r="J43" s="17"/>
      <c r="K43" s="25"/>
      <c r="L43" s="20"/>
      <c r="M43" s="25"/>
      <c r="N43" s="19"/>
      <c r="Q43" s="5"/>
    </row>
    <row r="44" spans="1:17" x14ac:dyDescent="0.2">
      <c r="A44" s="36">
        <v>42</v>
      </c>
      <c r="B44" s="15" t="s">
        <v>122</v>
      </c>
      <c r="C44" s="16" t="s">
        <v>227</v>
      </c>
      <c r="D44" s="17"/>
      <c r="E44" s="17"/>
      <c r="F44" s="35"/>
      <c r="G44" s="17"/>
      <c r="H44" s="20"/>
      <c r="I44" s="17"/>
      <c r="J44" s="17"/>
      <c r="K44" s="25"/>
      <c r="L44" s="20"/>
      <c r="M44" s="25"/>
      <c r="N44" s="19"/>
      <c r="Q44" s="5"/>
    </row>
    <row r="45" spans="1:17" x14ac:dyDescent="0.2">
      <c r="A45" s="40">
        <v>43</v>
      </c>
      <c r="B45" s="21" t="s">
        <v>124</v>
      </c>
      <c r="C45" s="22" t="s">
        <v>228</v>
      </c>
      <c r="D45" s="22" t="s">
        <v>23</v>
      </c>
      <c r="E45" s="22" t="s">
        <v>229</v>
      </c>
      <c r="F45" s="34">
        <v>44062</v>
      </c>
      <c r="G45" s="6"/>
      <c r="H45" s="22" t="s">
        <v>119</v>
      </c>
      <c r="I45" s="4" t="s">
        <v>28</v>
      </c>
      <c r="J45" s="7"/>
      <c r="K45" s="23">
        <v>450</v>
      </c>
      <c r="L45" s="24"/>
      <c r="M45" s="23">
        <v>0</v>
      </c>
      <c r="N45" s="7"/>
    </row>
    <row r="46" spans="1:17" x14ac:dyDescent="0.2">
      <c r="A46" s="40">
        <v>44</v>
      </c>
      <c r="B46" s="21" t="s">
        <v>126</v>
      </c>
      <c r="C46" s="22" t="s">
        <v>230</v>
      </c>
      <c r="D46" s="22" t="s">
        <v>231</v>
      </c>
      <c r="E46" s="22" t="s">
        <v>232</v>
      </c>
      <c r="F46" s="34">
        <v>44063</v>
      </c>
      <c r="G46" s="6"/>
      <c r="H46" s="22" t="s">
        <v>151</v>
      </c>
      <c r="I46" s="4" t="s">
        <v>22</v>
      </c>
      <c r="J46" s="7"/>
      <c r="K46" s="23">
        <v>2808</v>
      </c>
      <c r="L46" s="24"/>
      <c r="M46" s="23">
        <v>0</v>
      </c>
      <c r="N46" s="7"/>
    </row>
    <row r="47" spans="1:17" x14ac:dyDescent="0.2">
      <c r="A47" s="40">
        <v>45</v>
      </c>
      <c r="B47" s="21" t="s">
        <v>130</v>
      </c>
      <c r="C47" s="22" t="s">
        <v>233</v>
      </c>
      <c r="D47" s="22" t="s">
        <v>234</v>
      </c>
      <c r="E47" s="22" t="s">
        <v>235</v>
      </c>
      <c r="F47" s="34">
        <v>44069</v>
      </c>
      <c r="G47" s="6"/>
      <c r="H47" s="22" t="s">
        <v>119</v>
      </c>
      <c r="I47" s="4" t="s">
        <v>22</v>
      </c>
      <c r="J47" s="7"/>
      <c r="K47" s="23">
        <v>1200</v>
      </c>
      <c r="L47" s="24"/>
      <c r="M47" s="23">
        <v>0</v>
      </c>
      <c r="N47" s="7"/>
    </row>
    <row r="48" spans="1:17" x14ac:dyDescent="0.2">
      <c r="A48" s="36">
        <v>46</v>
      </c>
      <c r="B48" s="15" t="s">
        <v>236</v>
      </c>
      <c r="C48" s="16" t="s">
        <v>237</v>
      </c>
      <c r="D48" s="17"/>
      <c r="E48" s="17"/>
      <c r="F48" s="35"/>
      <c r="G48" s="17"/>
      <c r="H48" s="20"/>
      <c r="I48" s="17"/>
      <c r="J48" s="17"/>
      <c r="K48" s="25"/>
      <c r="L48" s="20"/>
      <c r="M48" s="25"/>
      <c r="N48" s="19"/>
    </row>
    <row r="49" spans="1:14" x14ac:dyDescent="0.2">
      <c r="A49" s="40">
        <v>47</v>
      </c>
      <c r="B49" s="21" t="s">
        <v>238</v>
      </c>
      <c r="C49" s="22" t="s">
        <v>239</v>
      </c>
      <c r="D49" s="22" t="s">
        <v>240</v>
      </c>
      <c r="E49" s="22" t="s">
        <v>241</v>
      </c>
      <c r="F49" s="34">
        <v>44070</v>
      </c>
      <c r="G49" s="6"/>
      <c r="H49" s="22" t="s">
        <v>119</v>
      </c>
      <c r="I49" s="15" t="s">
        <v>25</v>
      </c>
      <c r="J49" s="7"/>
      <c r="K49" s="23">
        <v>743.15</v>
      </c>
      <c r="L49" s="24"/>
      <c r="M49" s="23">
        <v>0</v>
      </c>
      <c r="N49" s="7"/>
    </row>
    <row r="50" spans="1:14" x14ac:dyDescent="0.2">
      <c r="A50" s="40">
        <v>48</v>
      </c>
      <c r="B50" s="21" t="s">
        <v>242</v>
      </c>
      <c r="C50" s="22" t="s">
        <v>243</v>
      </c>
      <c r="D50" s="22" t="s">
        <v>244</v>
      </c>
      <c r="E50" s="22" t="s">
        <v>245</v>
      </c>
      <c r="F50" s="34">
        <v>44071</v>
      </c>
      <c r="G50" s="6"/>
      <c r="H50" s="22" t="s">
        <v>119</v>
      </c>
      <c r="I50" s="4" t="s">
        <v>28</v>
      </c>
      <c r="J50" s="7"/>
      <c r="K50" s="23">
        <v>4124.28</v>
      </c>
      <c r="L50" s="24"/>
      <c r="M50" s="23">
        <v>0</v>
      </c>
      <c r="N50" s="7"/>
    </row>
    <row r="51" spans="1:14" x14ac:dyDescent="0.2">
      <c r="A51" s="40">
        <v>49</v>
      </c>
      <c r="B51" s="21" t="s">
        <v>166</v>
      </c>
      <c r="C51" s="22" t="s">
        <v>246</v>
      </c>
      <c r="D51" s="22" t="s">
        <v>247</v>
      </c>
      <c r="E51" s="22" t="s">
        <v>248</v>
      </c>
      <c r="F51" s="34">
        <v>44072</v>
      </c>
      <c r="G51" s="6"/>
      <c r="H51" s="22" t="s">
        <v>249</v>
      </c>
      <c r="I51" s="4" t="s">
        <v>36</v>
      </c>
      <c r="J51" s="7"/>
      <c r="K51" s="23">
        <v>13582.28</v>
      </c>
      <c r="L51" s="24"/>
      <c r="M51" s="23">
        <v>0</v>
      </c>
      <c r="N51" s="7"/>
    </row>
    <row r="52" spans="1:14" x14ac:dyDescent="0.2">
      <c r="A52" s="40">
        <v>50</v>
      </c>
      <c r="B52" s="21" t="s">
        <v>250</v>
      </c>
      <c r="C52" s="22" t="s">
        <v>251</v>
      </c>
      <c r="D52" s="22" t="s">
        <v>247</v>
      </c>
      <c r="E52" s="22"/>
      <c r="F52" s="34">
        <v>44072</v>
      </c>
      <c r="G52" s="6"/>
      <c r="H52" s="22" t="s">
        <v>252</v>
      </c>
      <c r="I52" s="15" t="s">
        <v>25</v>
      </c>
      <c r="J52" s="7"/>
      <c r="K52" s="23">
        <v>1719.12</v>
      </c>
      <c r="L52" s="24"/>
      <c r="M52" s="23">
        <v>0</v>
      </c>
      <c r="N52" s="7"/>
    </row>
    <row r="53" spans="1:14" x14ac:dyDescent="0.2">
      <c r="A53" s="40">
        <v>51</v>
      </c>
      <c r="B53" s="21" t="s">
        <v>253</v>
      </c>
      <c r="C53" s="22" t="s">
        <v>254</v>
      </c>
      <c r="D53" s="22" t="s">
        <v>247</v>
      </c>
      <c r="E53" s="22"/>
      <c r="F53" s="34">
        <v>44072</v>
      </c>
      <c r="G53" s="6"/>
      <c r="H53" s="22" t="s">
        <v>129</v>
      </c>
      <c r="I53" s="15" t="s">
        <v>25</v>
      </c>
      <c r="J53" s="7"/>
      <c r="K53" s="23">
        <v>900.12</v>
      </c>
      <c r="L53" s="24"/>
      <c r="M53" s="23">
        <v>0</v>
      </c>
      <c r="N53" s="7"/>
    </row>
    <row r="54" spans="1:14" x14ac:dyDescent="0.2">
      <c r="A54" s="36">
        <v>52</v>
      </c>
      <c r="B54" s="15" t="s">
        <v>216</v>
      </c>
      <c r="C54" s="16" t="s">
        <v>255</v>
      </c>
      <c r="D54" s="17"/>
      <c r="E54" s="17"/>
      <c r="F54" s="35"/>
      <c r="G54" s="17"/>
      <c r="H54" s="20"/>
      <c r="I54" s="17"/>
      <c r="J54" s="17"/>
      <c r="K54" s="25"/>
      <c r="L54" s="20"/>
      <c r="M54" s="25"/>
      <c r="N54" s="19"/>
    </row>
    <row r="55" spans="1:14" x14ac:dyDescent="0.2">
      <c r="A55" s="40">
        <v>53</v>
      </c>
      <c r="B55" s="21" t="s">
        <v>218</v>
      </c>
      <c r="C55" s="22" t="s">
        <v>256</v>
      </c>
      <c r="D55" s="22" t="s">
        <v>234</v>
      </c>
      <c r="E55" s="22"/>
      <c r="F55" s="34">
        <v>44069</v>
      </c>
      <c r="G55" s="6"/>
      <c r="H55" s="22" t="s">
        <v>73</v>
      </c>
      <c r="I55" s="15" t="s">
        <v>25</v>
      </c>
      <c r="J55" s="7"/>
      <c r="K55" s="23">
        <v>1000</v>
      </c>
      <c r="L55" s="24"/>
      <c r="M55" s="23">
        <v>0</v>
      </c>
      <c r="N55" s="7"/>
    </row>
    <row r="56" spans="1:14" x14ac:dyDescent="0.2">
      <c r="A56" s="36">
        <v>54</v>
      </c>
      <c r="B56" s="15" t="s">
        <v>220</v>
      </c>
      <c r="C56" s="16" t="s">
        <v>257</v>
      </c>
      <c r="D56" s="17"/>
      <c r="E56" s="17"/>
      <c r="F56" s="35"/>
      <c r="G56" s="17"/>
      <c r="H56" s="20"/>
      <c r="I56" s="17"/>
      <c r="J56" s="17"/>
      <c r="K56" s="25"/>
      <c r="L56" s="20"/>
      <c r="M56" s="25"/>
      <c r="N56" s="19"/>
    </row>
    <row r="57" spans="1:14" x14ac:dyDescent="0.2">
      <c r="A57" s="40">
        <v>55</v>
      </c>
      <c r="B57" s="21" t="s">
        <v>222</v>
      </c>
      <c r="C57" s="22" t="s">
        <v>258</v>
      </c>
      <c r="D57" s="22" t="s">
        <v>259</v>
      </c>
      <c r="E57" s="22"/>
      <c r="F57" s="34">
        <v>44096</v>
      </c>
      <c r="G57" s="6"/>
      <c r="H57" s="22" t="s">
        <v>119</v>
      </c>
      <c r="I57" s="15" t="s">
        <v>25</v>
      </c>
      <c r="J57" s="7"/>
      <c r="K57" s="23">
        <v>1000</v>
      </c>
      <c r="L57" s="24"/>
      <c r="M57" s="23">
        <v>0</v>
      </c>
      <c r="N57" s="7"/>
    </row>
    <row r="58" spans="1:14" x14ac:dyDescent="0.2">
      <c r="A58" s="36">
        <v>56</v>
      </c>
      <c r="B58" s="15" t="s">
        <v>260</v>
      </c>
      <c r="C58" s="16" t="s">
        <v>261</v>
      </c>
      <c r="D58" s="17"/>
      <c r="E58" s="17"/>
      <c r="F58" s="35"/>
      <c r="G58" s="17"/>
      <c r="H58" s="20"/>
      <c r="I58" s="17"/>
      <c r="J58" s="17"/>
      <c r="K58" s="25"/>
      <c r="L58" s="20"/>
      <c r="M58" s="25"/>
      <c r="N58" s="19"/>
    </row>
    <row r="59" spans="1:14" x14ac:dyDescent="0.2">
      <c r="A59" s="36">
        <v>57</v>
      </c>
      <c r="B59" s="15" t="s">
        <v>122</v>
      </c>
      <c r="C59" s="16" t="s">
        <v>262</v>
      </c>
      <c r="D59" s="17"/>
      <c r="E59" s="17"/>
      <c r="F59" s="35"/>
      <c r="G59" s="17"/>
      <c r="H59" s="20"/>
      <c r="I59" s="17"/>
      <c r="J59" s="17"/>
      <c r="K59" s="25"/>
      <c r="L59" s="20"/>
      <c r="M59" s="25"/>
      <c r="N59" s="19"/>
    </row>
    <row r="60" spans="1:14" x14ac:dyDescent="0.2">
      <c r="A60" s="40">
        <v>58</v>
      </c>
      <c r="B60" s="21" t="s">
        <v>124</v>
      </c>
      <c r="C60" s="22" t="s">
        <v>263</v>
      </c>
      <c r="D60" s="22" t="s">
        <v>23</v>
      </c>
      <c r="E60" s="22" t="s">
        <v>264</v>
      </c>
      <c r="F60" s="34">
        <v>44062</v>
      </c>
      <c r="G60" s="6"/>
      <c r="H60" s="22" t="s">
        <v>119</v>
      </c>
      <c r="I60" s="4" t="s">
        <v>22</v>
      </c>
      <c r="J60" s="7"/>
      <c r="K60" s="23">
        <v>450</v>
      </c>
      <c r="L60" s="24"/>
      <c r="M60" s="23">
        <v>0</v>
      </c>
      <c r="N60" s="7"/>
    </row>
    <row r="61" spans="1:14" x14ac:dyDescent="0.2">
      <c r="A61" s="40">
        <v>59</v>
      </c>
      <c r="B61" s="21" t="s">
        <v>126</v>
      </c>
      <c r="C61" s="22" t="s">
        <v>265</v>
      </c>
      <c r="D61" s="22" t="s">
        <v>266</v>
      </c>
      <c r="E61" s="22" t="s">
        <v>267</v>
      </c>
      <c r="F61" s="34">
        <v>44063</v>
      </c>
      <c r="G61" s="6"/>
      <c r="H61" s="22" t="s">
        <v>252</v>
      </c>
      <c r="I61" s="4" t="s">
        <v>22</v>
      </c>
      <c r="J61" s="7"/>
      <c r="K61" s="23">
        <v>1872</v>
      </c>
      <c r="L61" s="24"/>
      <c r="M61" s="23">
        <v>0</v>
      </c>
      <c r="N61" s="7"/>
    </row>
    <row r="62" spans="1:14" x14ac:dyDescent="0.2">
      <c r="A62" s="40">
        <v>60</v>
      </c>
      <c r="B62" s="21" t="s">
        <v>130</v>
      </c>
      <c r="C62" s="22" t="s">
        <v>268</v>
      </c>
      <c r="D62" s="22" t="s">
        <v>269</v>
      </c>
      <c r="E62" s="22" t="s">
        <v>270</v>
      </c>
      <c r="F62" s="34">
        <v>44067</v>
      </c>
      <c r="G62" s="6"/>
      <c r="H62" s="22" t="s">
        <v>119</v>
      </c>
      <c r="I62" s="4" t="s">
        <v>36</v>
      </c>
      <c r="J62" s="7"/>
      <c r="K62" s="23">
        <v>1200</v>
      </c>
      <c r="L62" s="24"/>
      <c r="M62" s="23">
        <v>0</v>
      </c>
      <c r="N62" s="7"/>
    </row>
    <row r="63" spans="1:14" x14ac:dyDescent="0.2">
      <c r="A63" s="36">
        <v>61</v>
      </c>
      <c r="B63" s="15" t="s">
        <v>236</v>
      </c>
      <c r="C63" s="16" t="s">
        <v>271</v>
      </c>
      <c r="D63" s="17"/>
      <c r="E63" s="17"/>
      <c r="F63" s="35"/>
      <c r="G63" s="17"/>
      <c r="H63" s="20"/>
      <c r="I63" s="17"/>
      <c r="J63" s="17"/>
      <c r="K63" s="25"/>
      <c r="L63" s="20"/>
      <c r="M63" s="25"/>
      <c r="N63" s="19"/>
    </row>
    <row r="64" spans="1:14" x14ac:dyDescent="0.2">
      <c r="A64" s="40">
        <v>62</v>
      </c>
      <c r="B64" s="21" t="s">
        <v>238</v>
      </c>
      <c r="C64" s="22" t="s">
        <v>272</v>
      </c>
      <c r="D64" s="22" t="s">
        <v>273</v>
      </c>
      <c r="E64" s="22" t="s">
        <v>274</v>
      </c>
      <c r="F64" s="34">
        <v>44068</v>
      </c>
      <c r="G64" s="6"/>
      <c r="H64" s="22" t="s">
        <v>119</v>
      </c>
      <c r="I64" s="4" t="s">
        <v>22</v>
      </c>
      <c r="J64" s="7"/>
      <c r="K64" s="23">
        <v>743.15</v>
      </c>
      <c r="L64" s="24"/>
      <c r="M64" s="23">
        <v>0</v>
      </c>
      <c r="N64" s="7"/>
    </row>
    <row r="65" spans="1:14" x14ac:dyDescent="0.2">
      <c r="A65" s="40">
        <v>63</v>
      </c>
      <c r="B65" s="21" t="s">
        <v>275</v>
      </c>
      <c r="C65" s="22" t="s">
        <v>276</v>
      </c>
      <c r="D65" s="22" t="s">
        <v>277</v>
      </c>
      <c r="E65" s="22" t="s">
        <v>278</v>
      </c>
      <c r="F65" s="34">
        <v>44069</v>
      </c>
      <c r="G65" s="6"/>
      <c r="H65" s="22" t="s">
        <v>119</v>
      </c>
      <c r="I65" s="4" t="s">
        <v>27</v>
      </c>
      <c r="J65" s="7"/>
      <c r="K65" s="23">
        <v>4004.28</v>
      </c>
      <c r="L65" s="24"/>
      <c r="M65" s="23">
        <v>0</v>
      </c>
      <c r="N65" s="7"/>
    </row>
    <row r="66" spans="1:14" x14ac:dyDescent="0.2">
      <c r="A66" s="40">
        <v>64</v>
      </c>
      <c r="B66" s="21" t="s">
        <v>166</v>
      </c>
      <c r="C66" s="22" t="s">
        <v>279</v>
      </c>
      <c r="D66" s="22" t="s">
        <v>280</v>
      </c>
      <c r="E66" s="22" t="s">
        <v>281</v>
      </c>
      <c r="F66" s="34">
        <v>44070</v>
      </c>
      <c r="G66" s="6"/>
      <c r="H66" s="22" t="s">
        <v>74</v>
      </c>
      <c r="I66" s="4" t="s">
        <v>22</v>
      </c>
      <c r="J66" s="7"/>
      <c r="K66" s="23">
        <v>7625.16</v>
      </c>
      <c r="L66" s="24"/>
      <c r="M66" s="23">
        <v>0</v>
      </c>
      <c r="N66" s="7"/>
    </row>
    <row r="67" spans="1:14" x14ac:dyDescent="0.2">
      <c r="A67" s="40">
        <v>65</v>
      </c>
      <c r="B67" s="21" t="s">
        <v>250</v>
      </c>
      <c r="C67" s="22" t="s">
        <v>282</v>
      </c>
      <c r="D67" s="22" t="s">
        <v>280</v>
      </c>
      <c r="E67" s="22"/>
      <c r="F67" s="34">
        <v>44070</v>
      </c>
      <c r="G67" s="6"/>
      <c r="H67" s="22" t="s">
        <v>129</v>
      </c>
      <c r="I67" s="4" t="s">
        <v>28</v>
      </c>
      <c r="J67" s="7"/>
      <c r="K67" s="23">
        <v>969.76</v>
      </c>
      <c r="L67" s="24"/>
      <c r="M67" s="23">
        <v>0</v>
      </c>
      <c r="N67" s="7"/>
    </row>
    <row r="68" spans="1:14" x14ac:dyDescent="0.2">
      <c r="A68" s="40">
        <v>66</v>
      </c>
      <c r="B68" s="21" t="s">
        <v>253</v>
      </c>
      <c r="C68" s="22" t="s">
        <v>283</v>
      </c>
      <c r="D68" s="22" t="s">
        <v>280</v>
      </c>
      <c r="E68" s="22"/>
      <c r="F68" s="34">
        <v>44070</v>
      </c>
      <c r="G68" s="6"/>
      <c r="H68" s="22" t="s">
        <v>129</v>
      </c>
      <c r="I68" s="4" t="s">
        <v>22</v>
      </c>
      <c r="J68" s="7"/>
      <c r="K68" s="23">
        <v>507.76</v>
      </c>
      <c r="L68" s="24"/>
      <c r="M68" s="23">
        <v>0</v>
      </c>
      <c r="N68" s="7"/>
    </row>
    <row r="69" spans="1:14" x14ac:dyDescent="0.2">
      <c r="A69" s="36">
        <v>67</v>
      </c>
      <c r="B69" s="15" t="s">
        <v>216</v>
      </c>
      <c r="C69" s="16" t="s">
        <v>284</v>
      </c>
      <c r="D69" s="17"/>
      <c r="E69" s="17"/>
      <c r="F69" s="35"/>
      <c r="G69" s="17"/>
      <c r="H69" s="20"/>
      <c r="I69" s="17"/>
      <c r="J69" s="17"/>
      <c r="K69" s="25"/>
      <c r="L69" s="20"/>
      <c r="M69" s="25"/>
      <c r="N69" s="19"/>
    </row>
    <row r="70" spans="1:14" x14ac:dyDescent="0.2">
      <c r="A70" s="40">
        <v>68</v>
      </c>
      <c r="B70" s="21" t="s">
        <v>218</v>
      </c>
      <c r="C70" s="22" t="s">
        <v>285</v>
      </c>
      <c r="D70" s="22" t="s">
        <v>269</v>
      </c>
      <c r="E70" s="22"/>
      <c r="F70" s="34">
        <v>44067</v>
      </c>
      <c r="G70" s="6"/>
      <c r="H70" s="22" t="s">
        <v>73</v>
      </c>
      <c r="I70" s="4" t="s">
        <v>27</v>
      </c>
      <c r="J70" s="7"/>
      <c r="K70" s="23">
        <v>1000</v>
      </c>
      <c r="L70" s="24"/>
      <c r="M70" s="23">
        <v>0</v>
      </c>
      <c r="N70" s="7"/>
    </row>
    <row r="71" spans="1:14" x14ac:dyDescent="0.2">
      <c r="A71" s="36">
        <v>69</v>
      </c>
      <c r="B71" s="15" t="s">
        <v>220</v>
      </c>
      <c r="C71" s="16" t="s">
        <v>286</v>
      </c>
      <c r="D71" s="17"/>
      <c r="E71" s="17"/>
      <c r="F71" s="35"/>
      <c r="G71" s="17"/>
      <c r="H71" s="20"/>
      <c r="I71" s="17"/>
      <c r="J71" s="17"/>
      <c r="K71" s="25"/>
      <c r="L71" s="20"/>
      <c r="M71" s="25"/>
      <c r="N71" s="19"/>
    </row>
    <row r="72" spans="1:14" x14ac:dyDescent="0.2">
      <c r="A72" s="40">
        <v>70</v>
      </c>
      <c r="B72" s="21" t="s">
        <v>222</v>
      </c>
      <c r="C72" s="22" t="s">
        <v>287</v>
      </c>
      <c r="D72" s="22" t="s">
        <v>288</v>
      </c>
      <c r="E72" s="22"/>
      <c r="F72" s="34">
        <v>44088</v>
      </c>
      <c r="G72" s="6"/>
      <c r="H72" s="22" t="s">
        <v>119</v>
      </c>
      <c r="I72" s="4" t="s">
        <v>27</v>
      </c>
      <c r="J72" s="7"/>
      <c r="K72" s="23">
        <v>1000</v>
      </c>
      <c r="L72" s="24"/>
      <c r="M72" s="23">
        <v>0</v>
      </c>
      <c r="N72" s="7"/>
    </row>
    <row r="75" spans="1:14" x14ac:dyDescent="0.2">
      <c r="F75" s="49">
        <f>MAX(F5:F72)</f>
        <v>44116</v>
      </c>
    </row>
    <row r="76" spans="1:14" x14ac:dyDescent="0.2">
      <c r="F76">
        <f>F75-F5</f>
        <v>55</v>
      </c>
    </row>
    <row r="83" spans="2:11" ht="16" thickBot="1" x14ac:dyDescent="0.25"/>
    <row r="84" spans="2:11" ht="16" thickBot="1" x14ac:dyDescent="0.25">
      <c r="D84" s="43">
        <v>0.137320318</v>
      </c>
      <c r="E84" s="44">
        <v>0.12259171000000001</v>
      </c>
      <c r="F84" s="44">
        <v>1.667102112</v>
      </c>
      <c r="I84" s="43">
        <v>0.244897963</v>
      </c>
      <c r="J84" s="44">
        <v>0.425441554</v>
      </c>
      <c r="K84" s="44">
        <v>1.2233295829999999</v>
      </c>
    </row>
    <row r="85" spans="2:11" ht="16" thickBot="1" x14ac:dyDescent="0.25">
      <c r="D85" s="45">
        <v>0.13648707700000001</v>
      </c>
      <c r="E85" s="46">
        <v>0.121216937</v>
      </c>
      <c r="F85" s="46">
        <v>1.7289747310000001</v>
      </c>
      <c r="I85" s="45">
        <v>0.36262003100000001</v>
      </c>
      <c r="J85" s="46">
        <v>0.38541048900000002</v>
      </c>
      <c r="K85" s="46">
        <v>0.93021378899999996</v>
      </c>
    </row>
    <row r="86" spans="2:11" ht="16" thickBot="1" x14ac:dyDescent="0.25">
      <c r="D86" s="45">
        <v>9.4166151000000003E-2</v>
      </c>
      <c r="E86" s="46">
        <v>8.6299772999999996E-2</v>
      </c>
      <c r="F86" s="46">
        <v>1.465264685</v>
      </c>
      <c r="I86" s="45">
        <v>6.4008199000000002E-2</v>
      </c>
      <c r="J86" s="46">
        <v>0.134207462</v>
      </c>
      <c r="K86" s="46">
        <v>2.2575635599999999</v>
      </c>
    </row>
    <row r="87" spans="2:11" ht="16" thickBot="1" x14ac:dyDescent="0.25">
      <c r="I87" s="45">
        <v>0.119406741</v>
      </c>
      <c r="J87" s="46">
        <v>0.12008290100000001</v>
      </c>
      <c r="K87" s="46">
        <v>1.70356011</v>
      </c>
    </row>
    <row r="88" spans="2:11" ht="16" thickBot="1" x14ac:dyDescent="0.25">
      <c r="D88" s="47">
        <f>D84*100</f>
        <v>13.7320318</v>
      </c>
      <c r="E88" s="47">
        <f t="shared" ref="E88:F88" si="0">E84*100</f>
        <v>12.259171</v>
      </c>
      <c r="F88" s="47">
        <f t="shared" si="0"/>
        <v>166.7102112</v>
      </c>
      <c r="I88" s="45">
        <v>0.11566499500000001</v>
      </c>
      <c r="J88" s="46">
        <v>0.12142144000000001</v>
      </c>
      <c r="K88" s="46">
        <v>1.648746219</v>
      </c>
    </row>
    <row r="89" spans="2:11" ht="16" thickBot="1" x14ac:dyDescent="0.25">
      <c r="D89" s="47">
        <f t="shared" ref="D89:F90" si="1">D85*100</f>
        <v>13.648707700000001</v>
      </c>
      <c r="E89" s="47">
        <f t="shared" si="1"/>
        <v>12.1216937</v>
      </c>
      <c r="F89" s="47">
        <f t="shared" si="1"/>
        <v>172.89747310000001</v>
      </c>
      <c r="I89" s="45">
        <v>9.8693053000000003E-2</v>
      </c>
      <c r="J89" s="46">
        <v>8.1469755000000005E-2</v>
      </c>
      <c r="K89" s="46">
        <v>0.97268098800000002</v>
      </c>
    </row>
    <row r="90" spans="2:11" x14ac:dyDescent="0.2">
      <c r="D90" s="47">
        <f t="shared" si="1"/>
        <v>9.4166150999999996</v>
      </c>
      <c r="E90" s="47">
        <f t="shared" si="1"/>
        <v>8.6299773000000002</v>
      </c>
      <c r="F90" s="47">
        <f t="shared" si="1"/>
        <v>146.52646849999999</v>
      </c>
    </row>
    <row r="91" spans="2:11" x14ac:dyDescent="0.2">
      <c r="I91" s="47">
        <f>100*I84</f>
        <v>24.489796299999998</v>
      </c>
      <c r="J91" s="47">
        <f t="shared" ref="J91:K91" si="2">100*J84</f>
        <v>42.544155400000001</v>
      </c>
      <c r="K91" s="47">
        <f t="shared" si="2"/>
        <v>122.3329583</v>
      </c>
    </row>
    <row r="92" spans="2:11" ht="16" thickBot="1" x14ac:dyDescent="0.25">
      <c r="I92" s="47">
        <f t="shared" ref="I92:K97" si="3">100*I85</f>
        <v>36.262003100000001</v>
      </c>
      <c r="J92" s="47">
        <f t="shared" si="3"/>
        <v>38.5410489</v>
      </c>
      <c r="K92" s="47">
        <f t="shared" si="3"/>
        <v>93.021378900000002</v>
      </c>
    </row>
    <row r="93" spans="2:11" ht="16" thickBot="1" x14ac:dyDescent="0.25">
      <c r="B93" s="48">
        <v>0.25994580900000003</v>
      </c>
      <c r="C93" s="44">
        <v>8.6211995E-2</v>
      </c>
      <c r="D93" s="44">
        <v>3.6022708329999999</v>
      </c>
      <c r="I93" s="47">
        <f t="shared" si="3"/>
        <v>6.4008199000000001</v>
      </c>
      <c r="J93" s="47">
        <f t="shared" si="3"/>
        <v>13.4207462</v>
      </c>
      <c r="K93" s="47">
        <f t="shared" si="3"/>
        <v>225.75635599999998</v>
      </c>
    </row>
    <row r="94" spans="2:11" ht="16" thickBot="1" x14ac:dyDescent="0.25">
      <c r="B94" s="45">
        <v>0.25994580900000003</v>
      </c>
      <c r="C94" s="46">
        <v>8.6211995E-2</v>
      </c>
      <c r="D94" s="46">
        <v>3.6022708329999999</v>
      </c>
      <c r="I94" s="47">
        <f t="shared" si="3"/>
        <v>11.940674099999999</v>
      </c>
      <c r="J94" s="47">
        <f t="shared" si="3"/>
        <v>12.0082901</v>
      </c>
      <c r="K94" s="47">
        <f t="shared" si="3"/>
        <v>170.356011</v>
      </c>
    </row>
    <row r="95" spans="2:11" ht="16" thickBot="1" x14ac:dyDescent="0.25">
      <c r="B95" s="45">
        <v>0.25994580900000003</v>
      </c>
      <c r="C95" s="46">
        <v>8.6211995E-2</v>
      </c>
      <c r="D95" s="46">
        <v>3.6022708329999999</v>
      </c>
      <c r="I95" s="47">
        <f t="shared" si="3"/>
        <v>11.566499500000001</v>
      </c>
      <c r="J95" s="47">
        <f t="shared" si="3"/>
        <v>12.142144</v>
      </c>
      <c r="K95" s="47">
        <f t="shared" si="3"/>
        <v>164.87462189999999</v>
      </c>
    </row>
    <row r="96" spans="2:11" x14ac:dyDescent="0.2">
      <c r="I96" s="47">
        <f t="shared" si="3"/>
        <v>9.8693053000000006</v>
      </c>
      <c r="J96" s="47">
        <f t="shared" si="3"/>
        <v>8.1469754999999999</v>
      </c>
      <c r="K96" s="47">
        <f t="shared" si="3"/>
        <v>97.268098800000004</v>
      </c>
    </row>
    <row r="97" spans="2:11" x14ac:dyDescent="0.2">
      <c r="B97" s="47">
        <f>100*B93</f>
        <v>25.994580900000003</v>
      </c>
      <c r="C97" s="47">
        <f t="shared" ref="C97:D97" si="4">100*C93</f>
        <v>8.6211994999999995</v>
      </c>
      <c r="D97" s="47">
        <f t="shared" si="4"/>
        <v>360.2270833</v>
      </c>
      <c r="I97" s="47">
        <f t="shared" si="3"/>
        <v>0</v>
      </c>
      <c r="J97" s="47">
        <f t="shared" si="3"/>
        <v>0</v>
      </c>
      <c r="K97" s="47">
        <f t="shared" si="3"/>
        <v>0</v>
      </c>
    </row>
    <row r="98" spans="2:11" x14ac:dyDescent="0.2">
      <c r="B98" s="47">
        <f t="shared" ref="B98:D99" si="5">100*B94</f>
        <v>25.994580900000003</v>
      </c>
      <c r="C98" s="47">
        <f t="shared" si="5"/>
        <v>8.6211994999999995</v>
      </c>
      <c r="D98" s="47">
        <f t="shared" si="5"/>
        <v>360.2270833</v>
      </c>
    </row>
    <row r="99" spans="2:11" x14ac:dyDescent="0.2">
      <c r="B99" s="47">
        <f t="shared" si="5"/>
        <v>25.994580900000003</v>
      </c>
      <c r="C99" s="47">
        <f t="shared" si="5"/>
        <v>8.6211994999999995</v>
      </c>
      <c r="D99" s="47">
        <f t="shared" si="5"/>
        <v>360.2270833</v>
      </c>
    </row>
    <row r="133" spans="2:17" x14ac:dyDescent="0.2">
      <c r="B133" s="50"/>
      <c r="C133" s="51">
        <v>44116</v>
      </c>
      <c r="D133" s="51"/>
      <c r="E133" s="51">
        <v>44116.708333333299</v>
      </c>
      <c r="F133" s="51"/>
      <c r="G133" s="51">
        <v>44114.666666666701</v>
      </c>
      <c r="H133" s="51"/>
      <c r="I133" s="51">
        <v>44117.708333333299</v>
      </c>
      <c r="J133" s="51"/>
      <c r="K133" s="51">
        <v>44117.708333333299</v>
      </c>
      <c r="L133" s="51"/>
      <c r="M133" s="51">
        <v>44117.708333333299</v>
      </c>
      <c r="N133" s="51"/>
      <c r="O133" s="51">
        <v>44117.708333333299</v>
      </c>
      <c r="P133" s="51"/>
      <c r="Q133" s="51">
        <v>44117.708333333299</v>
      </c>
    </row>
    <row r="134" spans="2:17" x14ac:dyDescent="0.2"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</row>
    <row r="135" spans="2:17" x14ac:dyDescent="0.2"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</row>
    <row r="136" spans="2:17" x14ac:dyDescent="0.2"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</row>
    <row r="137" spans="2:17" x14ac:dyDescent="0.2"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</row>
    <row r="138" spans="2:17" x14ac:dyDescent="0.2"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</row>
    <row r="139" spans="2:17" x14ac:dyDescent="0.2"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</row>
    <row r="140" spans="2:17" x14ac:dyDescent="0.2"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</row>
    <row r="141" spans="2:17" x14ac:dyDescent="0.2">
      <c r="B141" s="53" t="s">
        <v>294</v>
      </c>
      <c r="C141" s="34">
        <v>44061</v>
      </c>
      <c r="D141" s="51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</row>
    <row r="142" spans="2:17" x14ac:dyDescent="0.2">
      <c r="B142" s="53" t="s">
        <v>295</v>
      </c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</row>
    <row r="143" spans="2:17" x14ac:dyDescent="0.2"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</row>
    <row r="144" spans="2:17" x14ac:dyDescent="0.2">
      <c r="B144" s="52"/>
      <c r="C144" s="51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</row>
    <row r="145" spans="2:17" x14ac:dyDescent="0.2"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</row>
    <row r="146" spans="2:17" x14ac:dyDescent="0.2"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</row>
    <row r="147" spans="2:17" x14ac:dyDescent="0.2"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</row>
    <row r="148" spans="2:17" x14ac:dyDescent="0.2"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</row>
    <row r="149" spans="2:17" x14ac:dyDescent="0.2"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</row>
    <row r="150" spans="2:17" x14ac:dyDescent="0.2"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</row>
    <row r="151" spans="2:17" x14ac:dyDescent="0.2"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</row>
    <row r="152" spans="2:17" x14ac:dyDescent="0.2"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</row>
    <row r="153" spans="2:17" x14ac:dyDescent="0.2"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</row>
    <row r="154" spans="2:17" x14ac:dyDescent="0.2"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G25" sqref="G25"/>
    </sheetView>
  </sheetViews>
  <sheetFormatPr baseColWidth="10" defaultColWidth="8.83203125" defaultRowHeight="15" x14ac:dyDescent="0.2"/>
  <cols>
    <col min="2" max="2" width="15.6640625" customWidth="1"/>
    <col min="7" max="7" width="40.6640625" customWidth="1"/>
    <col min="8" max="8" width="10.6640625" customWidth="1"/>
  </cols>
  <sheetData>
    <row r="1" spans="1:8" x14ac:dyDescent="0.2">
      <c r="A1" s="42" t="s">
        <v>0</v>
      </c>
      <c r="B1" s="42"/>
      <c r="C1" s="42"/>
      <c r="D1" s="42"/>
      <c r="E1" s="42" t="s">
        <v>13</v>
      </c>
      <c r="F1" s="42"/>
      <c r="G1" s="42" t="s">
        <v>3</v>
      </c>
      <c r="H1" s="42"/>
    </row>
    <row r="2" spans="1:8" ht="25" customHeight="1" x14ac:dyDescent="0.2">
      <c r="A2" s="1" t="s">
        <v>5</v>
      </c>
      <c r="B2" s="1" t="s">
        <v>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17</v>
      </c>
    </row>
    <row r="3" spans="1:8" x14ac:dyDescent="0.2">
      <c r="A3" s="27">
        <v>1</v>
      </c>
      <c r="B3" s="15" t="s">
        <v>30</v>
      </c>
      <c r="C3" s="28" t="s">
        <v>42</v>
      </c>
      <c r="D3" s="28" t="s">
        <v>43</v>
      </c>
      <c r="E3" s="29">
        <v>0</v>
      </c>
      <c r="F3" s="29">
        <v>28</v>
      </c>
      <c r="G3" s="30"/>
      <c r="H3" s="30"/>
    </row>
    <row r="4" spans="1:8" x14ac:dyDescent="0.2">
      <c r="A4" s="27">
        <v>2</v>
      </c>
      <c r="B4" s="15" t="s">
        <v>27</v>
      </c>
      <c r="C4" s="28" t="s">
        <v>42</v>
      </c>
      <c r="D4" s="28" t="s">
        <v>44</v>
      </c>
      <c r="E4" s="29">
        <v>0</v>
      </c>
      <c r="F4" s="29">
        <v>26</v>
      </c>
      <c r="G4" s="30"/>
      <c r="H4" s="30"/>
    </row>
    <row r="5" spans="1:8" x14ac:dyDescent="0.2">
      <c r="A5" s="27">
        <v>3</v>
      </c>
      <c r="B5" s="15" t="s">
        <v>22</v>
      </c>
      <c r="C5" s="28" t="s">
        <v>42</v>
      </c>
      <c r="D5" s="28" t="s">
        <v>45</v>
      </c>
      <c r="E5" s="29">
        <v>0</v>
      </c>
      <c r="F5" s="29">
        <v>38</v>
      </c>
      <c r="G5" s="30"/>
      <c r="H5" s="30"/>
    </row>
    <row r="6" spans="1:8" x14ac:dyDescent="0.2">
      <c r="A6" s="27">
        <v>4</v>
      </c>
      <c r="B6" s="15" t="s">
        <v>25</v>
      </c>
      <c r="C6" s="28" t="s">
        <v>42</v>
      </c>
      <c r="D6" s="28" t="s">
        <v>46</v>
      </c>
      <c r="E6" s="29">
        <v>0</v>
      </c>
      <c r="F6" s="29">
        <v>26.8</v>
      </c>
      <c r="G6" s="30"/>
      <c r="H6" s="30"/>
    </row>
    <row r="7" spans="1:8" x14ac:dyDescent="0.2">
      <c r="A7" s="27">
        <v>5</v>
      </c>
      <c r="B7" s="15" t="s">
        <v>36</v>
      </c>
      <c r="C7" s="28" t="s">
        <v>42</v>
      </c>
      <c r="D7" s="28" t="s">
        <v>47</v>
      </c>
      <c r="E7" s="29">
        <v>0</v>
      </c>
      <c r="F7" s="29">
        <v>29</v>
      </c>
      <c r="G7" s="30"/>
      <c r="H7" s="30"/>
    </row>
    <row r="8" spans="1:8" x14ac:dyDescent="0.2">
      <c r="A8" s="27">
        <v>6</v>
      </c>
      <c r="B8" s="15" t="s">
        <v>28</v>
      </c>
      <c r="C8" s="28" t="s">
        <v>42</v>
      </c>
      <c r="D8" s="28" t="s">
        <v>45</v>
      </c>
      <c r="E8" s="29">
        <v>0</v>
      </c>
      <c r="F8" s="29">
        <v>39</v>
      </c>
      <c r="G8" s="30"/>
      <c r="H8" s="30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2"/>
  <sheetViews>
    <sheetView workbookViewId="0">
      <selection activeCell="J54" sqref="J54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4" max="4" width="15.6640625" customWidth="1"/>
    <col min="5" max="7" width="12.6640625" customWidth="1"/>
  </cols>
  <sheetData>
    <row r="1" spans="1:25" x14ac:dyDescent="0.2">
      <c r="A1" s="42" t="s">
        <v>0</v>
      </c>
      <c r="B1" s="42"/>
      <c r="C1" s="1" t="s">
        <v>2</v>
      </c>
      <c r="D1" s="42" t="s">
        <v>48</v>
      </c>
      <c r="E1" s="42"/>
      <c r="F1" s="42"/>
      <c r="G1" s="42"/>
    </row>
    <row r="2" spans="1:25" ht="25" x14ac:dyDescent="0.2">
      <c r="A2" s="1" t="s">
        <v>5</v>
      </c>
      <c r="B2" s="1" t="s">
        <v>6</v>
      </c>
      <c r="C2" s="1" t="s">
        <v>12</v>
      </c>
      <c r="D2" s="1" t="s">
        <v>49</v>
      </c>
      <c r="E2" s="1" t="s">
        <v>50</v>
      </c>
      <c r="F2" s="1" t="s">
        <v>51</v>
      </c>
      <c r="G2" s="1" t="s">
        <v>52</v>
      </c>
      <c r="W2" s="1" t="s">
        <v>112</v>
      </c>
      <c r="X2" s="1" t="s">
        <v>113</v>
      </c>
      <c r="Y2" s="1" t="s">
        <v>114</v>
      </c>
    </row>
    <row r="3" spans="1:25" x14ac:dyDescent="0.2">
      <c r="A3" s="2">
        <v>0</v>
      </c>
      <c r="B3" s="15" t="s">
        <v>115</v>
      </c>
      <c r="C3" s="9"/>
      <c r="D3" s="4"/>
      <c r="E3" s="4"/>
      <c r="F3" s="4"/>
      <c r="G3" s="4"/>
      <c r="W3" s="5">
        <v>942</v>
      </c>
      <c r="X3" s="5">
        <v>952</v>
      </c>
      <c r="Y3" s="5">
        <v>961</v>
      </c>
    </row>
    <row r="4" spans="1:25" x14ac:dyDescent="0.2">
      <c r="A4" s="4">
        <v>2</v>
      </c>
      <c r="B4" s="15" t="s">
        <v>116</v>
      </c>
      <c r="C4" s="9"/>
      <c r="D4" s="4"/>
      <c r="E4" s="4"/>
      <c r="F4" s="26"/>
      <c r="G4" s="4"/>
      <c r="W4" s="5">
        <v>942</v>
      </c>
      <c r="X4" s="5">
        <v>952</v>
      </c>
      <c r="Y4" s="5">
        <v>961</v>
      </c>
    </row>
    <row r="5" spans="1:25" ht="36" x14ac:dyDescent="0.2">
      <c r="A5" s="3">
        <v>3</v>
      </c>
      <c r="B5" s="21" t="s">
        <v>117</v>
      </c>
      <c r="C5" s="9"/>
      <c r="D5" s="4" t="s">
        <v>53</v>
      </c>
      <c r="E5" s="26">
        <v>50</v>
      </c>
      <c r="F5" s="26">
        <v>100</v>
      </c>
      <c r="G5" s="26">
        <v>150</v>
      </c>
      <c r="W5" s="5">
        <v>44</v>
      </c>
      <c r="X5" s="5">
        <v>56</v>
      </c>
      <c r="Y5" s="5">
        <v>67</v>
      </c>
    </row>
    <row r="6" spans="1:25" x14ac:dyDescent="0.2">
      <c r="A6" s="4">
        <v>4</v>
      </c>
      <c r="B6" s="15" t="s">
        <v>120</v>
      </c>
      <c r="C6" s="9"/>
      <c r="D6" s="4"/>
      <c r="E6" s="4"/>
      <c r="F6" s="26"/>
      <c r="G6" s="4"/>
      <c r="W6" s="5">
        <v>64</v>
      </c>
      <c r="X6" s="5">
        <v>80</v>
      </c>
      <c r="Y6" s="5">
        <v>96</v>
      </c>
    </row>
    <row r="7" spans="1:25" x14ac:dyDescent="0.2">
      <c r="A7" s="4">
        <v>5</v>
      </c>
      <c r="B7" s="15" t="s">
        <v>122</v>
      </c>
      <c r="C7" s="9"/>
      <c r="D7" s="4"/>
      <c r="E7" s="4"/>
      <c r="F7" s="26"/>
      <c r="G7" s="4"/>
      <c r="W7" s="5">
        <v>198</v>
      </c>
      <c r="X7" s="5">
        <v>200</v>
      </c>
      <c r="Y7" s="5">
        <v>202</v>
      </c>
    </row>
    <row r="8" spans="1:25" x14ac:dyDescent="0.2">
      <c r="A8" s="4">
        <v>6</v>
      </c>
      <c r="B8" s="21" t="s">
        <v>124</v>
      </c>
      <c r="C8" s="9"/>
      <c r="D8" s="4" t="s">
        <v>53</v>
      </c>
      <c r="E8" s="26">
        <v>50</v>
      </c>
      <c r="F8" s="26">
        <v>100</v>
      </c>
      <c r="G8" s="26">
        <v>150</v>
      </c>
      <c r="W8" s="5">
        <v>594</v>
      </c>
      <c r="X8" s="5">
        <v>600</v>
      </c>
      <c r="Y8" s="5">
        <v>606</v>
      </c>
    </row>
    <row r="9" spans="1:25" ht="24" x14ac:dyDescent="0.2">
      <c r="A9" s="4">
        <v>7</v>
      </c>
      <c r="B9" s="21" t="s">
        <v>126</v>
      </c>
      <c r="C9" s="9"/>
      <c r="D9" s="4" t="s">
        <v>54</v>
      </c>
      <c r="E9" s="26">
        <v>50</v>
      </c>
      <c r="F9" s="26">
        <v>100</v>
      </c>
      <c r="G9" s="26">
        <v>150</v>
      </c>
      <c r="W9" s="5">
        <v>237</v>
      </c>
      <c r="X9" s="5">
        <v>240</v>
      </c>
      <c r="Y9" s="5">
        <v>242</v>
      </c>
    </row>
    <row r="10" spans="1:25" x14ac:dyDescent="0.2">
      <c r="A10" s="3">
        <v>8</v>
      </c>
      <c r="B10" s="21" t="s">
        <v>130</v>
      </c>
      <c r="C10" s="9"/>
      <c r="D10" s="4" t="s">
        <v>55</v>
      </c>
      <c r="E10" s="26">
        <v>33.333333333333329</v>
      </c>
      <c r="F10" s="26">
        <v>100</v>
      </c>
      <c r="G10" s="26">
        <v>133.33333333333331</v>
      </c>
      <c r="W10" s="5">
        <v>192</v>
      </c>
      <c r="X10" s="5">
        <v>264</v>
      </c>
      <c r="Y10" s="5">
        <v>288</v>
      </c>
    </row>
    <row r="11" spans="1:25" x14ac:dyDescent="0.2">
      <c r="A11" s="3">
        <v>9</v>
      </c>
      <c r="B11" s="21" t="s">
        <v>135</v>
      </c>
      <c r="C11" s="9"/>
      <c r="D11" s="4" t="s">
        <v>54</v>
      </c>
      <c r="E11" s="26">
        <v>50</v>
      </c>
      <c r="F11" s="26">
        <v>100</v>
      </c>
      <c r="G11" s="26">
        <v>150</v>
      </c>
      <c r="W11" s="5">
        <v>118</v>
      </c>
      <c r="X11" s="5">
        <v>120</v>
      </c>
      <c r="Y11" s="5">
        <v>121</v>
      </c>
    </row>
    <row r="12" spans="1:25" ht="24" x14ac:dyDescent="0.2">
      <c r="A12" s="3">
        <v>10</v>
      </c>
      <c r="B12" s="21" t="s">
        <v>138</v>
      </c>
      <c r="C12" s="9"/>
      <c r="D12" s="4" t="s">
        <v>54</v>
      </c>
      <c r="E12" s="26">
        <v>57.142857142857139</v>
      </c>
      <c r="F12" s="26">
        <v>100</v>
      </c>
      <c r="G12" s="26">
        <v>142.85714285714286</v>
      </c>
      <c r="W12" s="5">
        <v>237</v>
      </c>
      <c r="X12" s="5">
        <v>240</v>
      </c>
      <c r="Y12" s="5">
        <v>242</v>
      </c>
    </row>
    <row r="13" spans="1:25" x14ac:dyDescent="0.2">
      <c r="A13" s="4">
        <v>11</v>
      </c>
      <c r="B13" s="15" t="s">
        <v>141</v>
      </c>
      <c r="C13" s="9"/>
      <c r="D13" s="4"/>
      <c r="E13" s="4"/>
      <c r="F13" s="26"/>
      <c r="G13" s="4"/>
      <c r="W13" s="5">
        <v>118</v>
      </c>
      <c r="X13" s="5">
        <v>120</v>
      </c>
      <c r="Y13" s="5">
        <v>121</v>
      </c>
    </row>
    <row r="14" spans="1:25" ht="36" x14ac:dyDescent="0.2">
      <c r="A14" s="3">
        <v>12</v>
      </c>
      <c r="B14" s="21" t="s">
        <v>143</v>
      </c>
      <c r="C14" s="9"/>
      <c r="D14" s="4" t="s">
        <v>54</v>
      </c>
      <c r="E14" s="26">
        <v>40</v>
      </c>
      <c r="F14" s="26">
        <v>100</v>
      </c>
      <c r="G14" s="26">
        <v>160</v>
      </c>
      <c r="W14" s="5">
        <v>118</v>
      </c>
      <c r="X14" s="5">
        <v>120</v>
      </c>
      <c r="Y14" s="5">
        <v>121</v>
      </c>
    </row>
    <row r="15" spans="1:25" ht="24" x14ac:dyDescent="0.2">
      <c r="A15" s="3">
        <v>13</v>
      </c>
      <c r="B15" s="21" t="s">
        <v>148</v>
      </c>
      <c r="C15" s="9"/>
      <c r="D15" s="4" t="s">
        <v>54</v>
      </c>
      <c r="E15" s="26">
        <v>66.666666666666657</v>
      </c>
      <c r="F15" s="26">
        <v>100</v>
      </c>
      <c r="G15" s="26">
        <v>133.33333333333331</v>
      </c>
      <c r="W15" s="5">
        <v>118</v>
      </c>
      <c r="X15" s="5">
        <v>120</v>
      </c>
      <c r="Y15" s="5">
        <v>121</v>
      </c>
    </row>
    <row r="16" spans="1:25" ht="36" x14ac:dyDescent="0.2">
      <c r="A16" s="4">
        <v>14</v>
      </c>
      <c r="B16" s="21" t="s">
        <v>152</v>
      </c>
      <c r="C16" s="9"/>
      <c r="D16" s="4" t="s">
        <v>54</v>
      </c>
      <c r="E16" s="26">
        <v>50</v>
      </c>
      <c r="F16" s="26">
        <v>100</v>
      </c>
      <c r="G16" s="26">
        <v>150</v>
      </c>
      <c r="W16" s="5">
        <v>475</v>
      </c>
      <c r="X16" s="5">
        <v>480</v>
      </c>
      <c r="Y16" s="5">
        <v>484</v>
      </c>
    </row>
    <row r="17" spans="1:25" ht="24" x14ac:dyDescent="0.2">
      <c r="A17" s="3">
        <v>15</v>
      </c>
      <c r="B17" s="21" t="s">
        <v>155</v>
      </c>
      <c r="C17" s="9"/>
      <c r="D17" s="4" t="s">
        <v>54</v>
      </c>
      <c r="E17" s="26">
        <v>60</v>
      </c>
      <c r="F17" s="26">
        <v>100</v>
      </c>
      <c r="G17" s="26">
        <v>140</v>
      </c>
      <c r="W17" s="5">
        <v>158</v>
      </c>
      <c r="X17" s="5">
        <v>160</v>
      </c>
      <c r="Y17" s="5">
        <v>161</v>
      </c>
    </row>
    <row r="18" spans="1:25" ht="24" x14ac:dyDescent="0.2">
      <c r="A18" s="3">
        <v>16</v>
      </c>
      <c r="B18" s="21" t="s">
        <v>156</v>
      </c>
      <c r="C18" s="9"/>
      <c r="D18" s="4" t="s">
        <v>54</v>
      </c>
      <c r="E18" s="26">
        <v>50</v>
      </c>
      <c r="F18" s="26">
        <v>100</v>
      </c>
      <c r="G18" s="26">
        <v>150</v>
      </c>
      <c r="W18" s="5">
        <v>118</v>
      </c>
      <c r="X18" s="5">
        <v>120</v>
      </c>
      <c r="Y18" s="5">
        <v>121</v>
      </c>
    </row>
    <row r="19" spans="1:25" x14ac:dyDescent="0.2">
      <c r="A19" s="4">
        <v>17</v>
      </c>
      <c r="B19" s="15" t="s">
        <v>159</v>
      </c>
      <c r="C19" s="9"/>
      <c r="D19" s="4"/>
      <c r="E19" s="4"/>
      <c r="F19" s="26"/>
      <c r="G19" s="4"/>
      <c r="W19" s="5">
        <v>118</v>
      </c>
      <c r="X19" s="5">
        <v>120</v>
      </c>
      <c r="Y19" s="5">
        <v>121</v>
      </c>
    </row>
    <row r="20" spans="1:25" ht="24" x14ac:dyDescent="0.2">
      <c r="A20" s="3">
        <v>18</v>
      </c>
      <c r="B20" s="21" t="s">
        <v>161</v>
      </c>
      <c r="C20" s="9"/>
      <c r="D20" s="4" t="s">
        <v>54</v>
      </c>
      <c r="E20" s="26">
        <v>60</v>
      </c>
      <c r="F20" s="26">
        <v>100</v>
      </c>
      <c r="G20" s="26">
        <v>140</v>
      </c>
      <c r="W20" s="5">
        <v>118</v>
      </c>
      <c r="X20" s="5">
        <v>120</v>
      </c>
      <c r="Y20" s="5">
        <v>121</v>
      </c>
    </row>
    <row r="21" spans="1:25" ht="24" x14ac:dyDescent="0.2">
      <c r="A21" s="3">
        <v>19</v>
      </c>
      <c r="B21" s="21" t="s">
        <v>289</v>
      </c>
      <c r="C21" s="9"/>
      <c r="D21" s="4" t="s">
        <v>54</v>
      </c>
      <c r="E21" s="26">
        <v>20</v>
      </c>
      <c r="F21" s="26">
        <v>100</v>
      </c>
      <c r="G21" s="26">
        <v>180</v>
      </c>
      <c r="W21" s="5">
        <v>118</v>
      </c>
      <c r="X21" s="5">
        <v>120</v>
      </c>
      <c r="Y21" s="5">
        <v>121</v>
      </c>
    </row>
    <row r="22" spans="1:25" x14ac:dyDescent="0.2">
      <c r="A22" s="3">
        <v>20</v>
      </c>
      <c r="B22" s="21" t="s">
        <v>169</v>
      </c>
      <c r="C22" s="9"/>
      <c r="D22" s="4" t="s">
        <v>54</v>
      </c>
      <c r="E22" s="26">
        <v>50</v>
      </c>
      <c r="F22" s="26">
        <v>100</v>
      </c>
      <c r="G22" s="26">
        <v>150</v>
      </c>
      <c r="W22" s="5">
        <v>118</v>
      </c>
      <c r="X22" s="5">
        <v>120</v>
      </c>
      <c r="Y22" s="5">
        <v>121</v>
      </c>
    </row>
    <row r="23" spans="1:25" x14ac:dyDescent="0.2">
      <c r="A23" s="3">
        <v>21</v>
      </c>
      <c r="B23" s="21" t="s">
        <v>171</v>
      </c>
      <c r="C23" s="9"/>
      <c r="D23" s="4" t="s">
        <v>54</v>
      </c>
      <c r="E23" s="26">
        <v>50</v>
      </c>
      <c r="F23" s="26">
        <v>100</v>
      </c>
      <c r="G23" s="26">
        <v>150</v>
      </c>
      <c r="W23" s="5">
        <v>95</v>
      </c>
      <c r="X23" s="5">
        <v>96</v>
      </c>
      <c r="Y23" s="5">
        <v>96</v>
      </c>
    </row>
    <row r="24" spans="1:25" x14ac:dyDescent="0.2">
      <c r="A24" s="4">
        <v>22</v>
      </c>
      <c r="B24" s="15" t="s">
        <v>174</v>
      </c>
      <c r="C24" s="9"/>
      <c r="D24" s="4"/>
      <c r="E24" s="26"/>
      <c r="F24" s="26"/>
      <c r="G24" s="26"/>
      <c r="W24" s="5">
        <v>522</v>
      </c>
      <c r="X24" s="5">
        <v>528</v>
      </c>
      <c r="Y24" s="5">
        <v>533</v>
      </c>
    </row>
    <row r="25" spans="1:25" ht="24" x14ac:dyDescent="0.2">
      <c r="A25" s="4">
        <v>23</v>
      </c>
      <c r="B25" s="21" t="s">
        <v>176</v>
      </c>
      <c r="C25" s="9"/>
      <c r="D25" s="4" t="s">
        <v>54</v>
      </c>
      <c r="E25" s="26">
        <v>33.333333333333329</v>
      </c>
      <c r="F25" s="26">
        <v>100</v>
      </c>
      <c r="G25" s="26">
        <v>166.66666666666669</v>
      </c>
      <c r="W25" s="5">
        <v>158</v>
      </c>
      <c r="X25" s="5">
        <v>160</v>
      </c>
      <c r="Y25" s="5">
        <v>161</v>
      </c>
    </row>
    <row r="26" spans="1:25" ht="24" x14ac:dyDescent="0.2">
      <c r="A26" s="3">
        <v>24</v>
      </c>
      <c r="B26" s="21" t="s">
        <v>179</v>
      </c>
      <c r="C26" s="9"/>
      <c r="D26" s="4" t="s">
        <v>54</v>
      </c>
      <c r="E26" s="26">
        <v>33.333333333333329</v>
      </c>
      <c r="F26" s="26">
        <v>100</v>
      </c>
      <c r="G26" s="26">
        <v>166.66666666666669</v>
      </c>
      <c r="W26" s="5">
        <v>158</v>
      </c>
      <c r="X26" s="5">
        <v>160</v>
      </c>
      <c r="Y26" s="5">
        <v>161</v>
      </c>
    </row>
    <row r="27" spans="1:25" ht="24" x14ac:dyDescent="0.2">
      <c r="A27" s="3">
        <v>25</v>
      </c>
      <c r="B27" s="21" t="s">
        <v>183</v>
      </c>
      <c r="C27" s="9"/>
      <c r="D27" s="4" t="s">
        <v>54</v>
      </c>
      <c r="E27" s="26">
        <v>33.333333333333329</v>
      </c>
      <c r="F27" s="26">
        <v>100</v>
      </c>
      <c r="G27" s="26">
        <v>166.66666666666669</v>
      </c>
      <c r="W27" s="5">
        <v>118</v>
      </c>
      <c r="X27" s="5">
        <v>120</v>
      </c>
      <c r="Y27" s="5">
        <v>121</v>
      </c>
    </row>
    <row r="28" spans="1:25" ht="24" x14ac:dyDescent="0.2">
      <c r="A28" s="3">
        <v>26</v>
      </c>
      <c r="B28" s="21" t="s">
        <v>187</v>
      </c>
      <c r="C28" s="9"/>
      <c r="D28" s="4" t="s">
        <v>54</v>
      </c>
      <c r="E28" s="26">
        <v>50</v>
      </c>
      <c r="F28" s="26">
        <v>100</v>
      </c>
      <c r="G28" s="26">
        <v>150</v>
      </c>
      <c r="W28" s="5">
        <v>118</v>
      </c>
      <c r="X28" s="5">
        <v>120</v>
      </c>
      <c r="Y28" s="5">
        <v>121</v>
      </c>
    </row>
    <row r="29" spans="1:25" x14ac:dyDescent="0.2">
      <c r="A29" s="3">
        <v>27</v>
      </c>
      <c r="B29" s="21" t="s">
        <v>191</v>
      </c>
      <c r="C29" s="9"/>
      <c r="D29" s="4" t="s">
        <v>54</v>
      </c>
      <c r="E29" s="26">
        <v>50</v>
      </c>
      <c r="F29" s="26">
        <v>100</v>
      </c>
      <c r="G29" s="26">
        <v>150</v>
      </c>
      <c r="W29" s="5">
        <v>79</v>
      </c>
      <c r="X29" s="5">
        <v>80</v>
      </c>
      <c r="Y29" s="5">
        <v>80</v>
      </c>
    </row>
    <row r="30" spans="1:25" ht="24" x14ac:dyDescent="0.2">
      <c r="A30" s="3">
        <v>28</v>
      </c>
      <c r="B30" s="21" t="s">
        <v>194</v>
      </c>
      <c r="C30" s="9"/>
      <c r="D30" s="4" t="s">
        <v>54</v>
      </c>
      <c r="E30" s="26">
        <v>33.333333333333329</v>
      </c>
      <c r="F30" s="26">
        <v>100</v>
      </c>
      <c r="G30" s="26">
        <v>166.66666666666669</v>
      </c>
      <c r="W30" s="5">
        <v>118</v>
      </c>
      <c r="X30" s="5">
        <v>120</v>
      </c>
      <c r="Y30" s="5">
        <v>121</v>
      </c>
    </row>
    <row r="31" spans="1:25" ht="24" x14ac:dyDescent="0.2">
      <c r="A31" s="3">
        <v>29</v>
      </c>
      <c r="B31" s="21" t="s">
        <v>197</v>
      </c>
      <c r="C31" s="9"/>
      <c r="D31" s="4" t="s">
        <v>54</v>
      </c>
      <c r="E31" s="26">
        <v>71.428571428571431</v>
      </c>
      <c r="F31" s="26">
        <v>100</v>
      </c>
      <c r="G31" s="26">
        <v>128.57142857142858</v>
      </c>
      <c r="W31" s="5">
        <v>118</v>
      </c>
      <c r="X31" s="5">
        <v>120</v>
      </c>
      <c r="Y31" s="5">
        <v>121</v>
      </c>
    </row>
    <row r="32" spans="1:25" ht="24" x14ac:dyDescent="0.2">
      <c r="A32" s="3">
        <v>30</v>
      </c>
      <c r="B32" s="21" t="s">
        <v>200</v>
      </c>
      <c r="C32" s="9"/>
      <c r="D32" s="4" t="s">
        <v>54</v>
      </c>
      <c r="E32" s="26">
        <v>33.333333333333329</v>
      </c>
      <c r="F32" s="26">
        <v>100</v>
      </c>
      <c r="G32" s="26">
        <v>166.66666666666669</v>
      </c>
      <c r="W32" s="5">
        <v>118</v>
      </c>
      <c r="X32" s="5">
        <v>120</v>
      </c>
      <c r="Y32" s="5">
        <v>121</v>
      </c>
    </row>
    <row r="33" spans="1:25" ht="24" x14ac:dyDescent="0.2">
      <c r="A33" s="3">
        <v>31</v>
      </c>
      <c r="B33" s="21" t="s">
        <v>202</v>
      </c>
      <c r="C33" s="9"/>
      <c r="D33" s="4" t="s">
        <v>54</v>
      </c>
      <c r="E33" s="26">
        <v>50</v>
      </c>
      <c r="F33" s="26">
        <v>100</v>
      </c>
      <c r="G33" s="26">
        <v>150</v>
      </c>
      <c r="W33" s="5">
        <v>118</v>
      </c>
      <c r="X33" s="5">
        <v>120</v>
      </c>
      <c r="Y33" s="5">
        <v>121</v>
      </c>
    </row>
    <row r="34" spans="1:25" ht="24" x14ac:dyDescent="0.2">
      <c r="A34" s="4">
        <v>32</v>
      </c>
      <c r="B34" s="15" t="s">
        <v>290</v>
      </c>
      <c r="C34" s="9"/>
      <c r="D34" s="4"/>
      <c r="E34" s="4"/>
      <c r="F34" s="26"/>
      <c r="G34" s="4"/>
      <c r="W34" s="5">
        <v>356</v>
      </c>
      <c r="X34" s="5">
        <v>360</v>
      </c>
      <c r="Y34" s="5">
        <v>363</v>
      </c>
    </row>
    <row r="35" spans="1:25" ht="24" x14ac:dyDescent="0.2">
      <c r="A35" s="3">
        <v>33</v>
      </c>
      <c r="B35" s="21" t="s">
        <v>291</v>
      </c>
      <c r="C35" s="9"/>
      <c r="D35" s="4" t="s">
        <v>54</v>
      </c>
      <c r="E35" s="26">
        <v>50</v>
      </c>
      <c r="F35" s="26">
        <v>100</v>
      </c>
      <c r="G35" s="26">
        <v>150</v>
      </c>
      <c r="W35" s="5">
        <v>158</v>
      </c>
      <c r="X35" s="5">
        <v>160</v>
      </c>
      <c r="Y35" s="5">
        <v>161</v>
      </c>
    </row>
    <row r="36" spans="1:25" ht="24" x14ac:dyDescent="0.2">
      <c r="A36" s="3">
        <v>34</v>
      </c>
      <c r="B36" s="21" t="s">
        <v>208</v>
      </c>
      <c r="C36" s="9"/>
      <c r="D36" s="4" t="s">
        <v>54</v>
      </c>
      <c r="E36" s="26">
        <v>50</v>
      </c>
      <c r="F36" s="26">
        <v>100</v>
      </c>
      <c r="G36" s="26">
        <v>150</v>
      </c>
      <c r="W36" s="5">
        <v>118</v>
      </c>
      <c r="X36" s="5">
        <v>120</v>
      </c>
      <c r="Y36" s="5">
        <v>121</v>
      </c>
    </row>
    <row r="37" spans="1:25" ht="24" x14ac:dyDescent="0.2">
      <c r="A37" s="3">
        <v>35</v>
      </c>
      <c r="B37" s="21" t="s">
        <v>211</v>
      </c>
      <c r="C37" s="9"/>
      <c r="D37" s="4" t="s">
        <v>54</v>
      </c>
      <c r="E37" s="26">
        <v>50</v>
      </c>
      <c r="F37" s="26">
        <v>100</v>
      </c>
      <c r="G37" s="26">
        <v>150</v>
      </c>
      <c r="W37" s="5">
        <v>158</v>
      </c>
      <c r="X37" s="5">
        <v>160</v>
      </c>
      <c r="Y37" s="5">
        <v>161</v>
      </c>
    </row>
    <row r="38" spans="1:25" ht="24" x14ac:dyDescent="0.2">
      <c r="A38" s="3">
        <v>36</v>
      </c>
      <c r="B38" s="21" t="s">
        <v>214</v>
      </c>
      <c r="C38" s="9"/>
      <c r="D38" s="4" t="s">
        <v>54</v>
      </c>
      <c r="E38" s="26">
        <v>50</v>
      </c>
      <c r="F38" s="26">
        <v>100</v>
      </c>
      <c r="G38" s="26">
        <v>150</v>
      </c>
      <c r="W38" s="5">
        <v>118</v>
      </c>
      <c r="X38" s="5">
        <v>120</v>
      </c>
      <c r="Y38" s="5">
        <v>121</v>
      </c>
    </row>
    <row r="39" spans="1:25" ht="24" x14ac:dyDescent="0.2">
      <c r="A39" s="4">
        <v>37</v>
      </c>
      <c r="B39" s="15" t="s">
        <v>216</v>
      </c>
      <c r="C39" s="9"/>
      <c r="D39" s="4"/>
      <c r="E39" s="4"/>
      <c r="F39" s="26"/>
      <c r="G39" s="4"/>
      <c r="W39" s="5">
        <v>96</v>
      </c>
      <c r="X39" s="5">
        <v>108</v>
      </c>
      <c r="Y39" s="5">
        <v>144</v>
      </c>
    </row>
    <row r="40" spans="1:25" x14ac:dyDescent="0.2">
      <c r="A40" s="3">
        <v>38</v>
      </c>
      <c r="B40" s="21" t="s">
        <v>218</v>
      </c>
      <c r="C40" s="9"/>
      <c r="D40" s="4" t="s">
        <v>56</v>
      </c>
      <c r="E40" s="26">
        <v>60</v>
      </c>
      <c r="F40" s="26">
        <v>100</v>
      </c>
      <c r="G40" s="26">
        <v>160</v>
      </c>
      <c r="W40" s="5">
        <v>96</v>
      </c>
      <c r="X40" s="5">
        <v>108</v>
      </c>
      <c r="Y40" s="5">
        <v>144</v>
      </c>
    </row>
    <row r="41" spans="1:25" x14ac:dyDescent="0.2">
      <c r="A41" s="4">
        <v>39</v>
      </c>
      <c r="B41" s="15" t="s">
        <v>220</v>
      </c>
      <c r="C41" s="9"/>
      <c r="D41" s="4"/>
      <c r="E41" s="4"/>
      <c r="F41" s="26"/>
      <c r="G41" s="4"/>
      <c r="W41" s="5">
        <v>96</v>
      </c>
      <c r="X41" s="5">
        <v>132</v>
      </c>
      <c r="Y41" s="5">
        <v>144</v>
      </c>
    </row>
    <row r="42" spans="1:25" ht="24" x14ac:dyDescent="0.2">
      <c r="A42" s="3">
        <v>40</v>
      </c>
      <c r="B42" s="21" t="s">
        <v>222</v>
      </c>
      <c r="C42" s="9"/>
      <c r="D42" s="4" t="s">
        <v>55</v>
      </c>
      <c r="E42" s="26">
        <v>25</v>
      </c>
      <c r="F42" s="26">
        <v>100</v>
      </c>
      <c r="G42" s="26">
        <v>150</v>
      </c>
      <c r="W42" s="5">
        <v>64</v>
      </c>
      <c r="X42" s="5">
        <v>88</v>
      </c>
      <c r="Y42" s="5">
        <v>96</v>
      </c>
    </row>
    <row r="43" spans="1:25" x14ac:dyDescent="0.2">
      <c r="A43" s="4">
        <v>41</v>
      </c>
      <c r="B43" s="15" t="s">
        <v>225</v>
      </c>
      <c r="C43" s="9"/>
      <c r="D43" s="4"/>
      <c r="E43" s="4"/>
      <c r="F43" s="26"/>
      <c r="G43" s="4"/>
      <c r="W43" s="5">
        <v>118</v>
      </c>
      <c r="X43" s="5">
        <v>120</v>
      </c>
      <c r="Y43" s="5">
        <v>121</v>
      </c>
    </row>
    <row r="44" spans="1:25" x14ac:dyDescent="0.2">
      <c r="A44" s="3">
        <v>42</v>
      </c>
      <c r="B44" s="15" t="s">
        <v>122</v>
      </c>
      <c r="C44" s="9"/>
      <c r="D44" s="4"/>
      <c r="E44" s="26"/>
      <c r="F44" s="26"/>
      <c r="G44" s="26"/>
      <c r="W44" s="5">
        <v>118</v>
      </c>
      <c r="X44" s="5">
        <v>120</v>
      </c>
      <c r="Y44" s="5">
        <v>121</v>
      </c>
    </row>
    <row r="45" spans="1:25" x14ac:dyDescent="0.2">
      <c r="A45" s="3">
        <v>43</v>
      </c>
      <c r="B45" s="21" t="s">
        <v>124</v>
      </c>
      <c r="C45" s="9"/>
      <c r="D45" s="4" t="s">
        <v>54</v>
      </c>
      <c r="E45" s="26">
        <v>50</v>
      </c>
      <c r="F45" s="26">
        <v>100</v>
      </c>
      <c r="G45" s="26">
        <v>150</v>
      </c>
    </row>
    <row r="46" spans="1:25" ht="24" x14ac:dyDescent="0.2">
      <c r="A46" s="3">
        <v>44</v>
      </c>
      <c r="B46" s="21" t="s">
        <v>126</v>
      </c>
      <c r="C46" s="9"/>
      <c r="D46" s="4" t="s">
        <v>56</v>
      </c>
      <c r="E46" s="26">
        <v>66.666666666666657</v>
      </c>
      <c r="F46" s="26">
        <v>100</v>
      </c>
      <c r="G46" s="26">
        <v>166.66666666666669</v>
      </c>
    </row>
    <row r="47" spans="1:25" x14ac:dyDescent="0.2">
      <c r="A47" s="3">
        <v>45</v>
      </c>
      <c r="B47" s="21" t="s">
        <v>130</v>
      </c>
      <c r="C47" s="9"/>
      <c r="D47" s="4" t="s">
        <v>56</v>
      </c>
      <c r="E47" s="26">
        <v>50</v>
      </c>
      <c r="F47" s="26">
        <v>100</v>
      </c>
      <c r="G47" s="26">
        <v>250</v>
      </c>
    </row>
    <row r="48" spans="1:25" x14ac:dyDescent="0.2">
      <c r="A48" s="4">
        <v>46</v>
      </c>
      <c r="B48" s="15" t="s">
        <v>236</v>
      </c>
      <c r="C48" s="9"/>
      <c r="D48" s="4"/>
      <c r="E48" s="4"/>
      <c r="F48" s="26"/>
      <c r="G48" s="4"/>
    </row>
    <row r="49" spans="1:7" ht="24" x14ac:dyDescent="0.2">
      <c r="A49" s="3">
        <v>47</v>
      </c>
      <c r="B49" s="21" t="s">
        <v>238</v>
      </c>
      <c r="C49" s="9"/>
      <c r="D49" s="4" t="s">
        <v>55</v>
      </c>
      <c r="E49" s="26">
        <v>25</v>
      </c>
      <c r="F49" s="26">
        <v>100</v>
      </c>
      <c r="G49" s="26">
        <v>150</v>
      </c>
    </row>
    <row r="50" spans="1:7" ht="24" x14ac:dyDescent="0.2">
      <c r="A50" s="3">
        <v>48</v>
      </c>
      <c r="B50" s="21" t="s">
        <v>242</v>
      </c>
      <c r="C50" s="9"/>
      <c r="D50" s="4" t="s">
        <v>54</v>
      </c>
      <c r="E50" s="26">
        <v>50</v>
      </c>
      <c r="F50" s="26">
        <v>100</v>
      </c>
      <c r="G50" s="26">
        <v>150</v>
      </c>
    </row>
    <row r="51" spans="1:7" ht="24" x14ac:dyDescent="0.2">
      <c r="A51" s="3">
        <v>49</v>
      </c>
      <c r="B51" s="21" t="s">
        <v>289</v>
      </c>
      <c r="C51" s="9"/>
      <c r="D51" s="4" t="s">
        <v>54</v>
      </c>
      <c r="E51" s="26">
        <v>83.333333333333343</v>
      </c>
      <c r="F51" s="26">
        <v>100</v>
      </c>
      <c r="G51" s="26">
        <v>116.66666666666667</v>
      </c>
    </row>
    <row r="52" spans="1:7" x14ac:dyDescent="0.2">
      <c r="A52" s="3">
        <v>50</v>
      </c>
      <c r="B52" s="21" t="s">
        <v>250</v>
      </c>
      <c r="C52" s="9"/>
      <c r="D52" s="4" t="s">
        <v>54</v>
      </c>
      <c r="E52" s="26">
        <v>50</v>
      </c>
      <c r="F52" s="26">
        <v>100</v>
      </c>
      <c r="G52" s="26">
        <v>150</v>
      </c>
    </row>
    <row r="53" spans="1:7" x14ac:dyDescent="0.2">
      <c r="A53" s="3">
        <v>51</v>
      </c>
      <c r="B53" s="21" t="s">
        <v>253</v>
      </c>
      <c r="C53" s="9"/>
      <c r="D53" s="4" t="s">
        <v>54</v>
      </c>
      <c r="E53" s="26">
        <v>50</v>
      </c>
      <c r="F53" s="26">
        <v>100</v>
      </c>
      <c r="G53" s="26">
        <v>150</v>
      </c>
    </row>
    <row r="54" spans="1:7" ht="24" x14ac:dyDescent="0.2">
      <c r="A54" s="4">
        <v>52</v>
      </c>
      <c r="B54" s="15" t="s">
        <v>216</v>
      </c>
      <c r="C54" s="9"/>
      <c r="D54" s="4"/>
      <c r="E54" s="4"/>
      <c r="F54" s="26"/>
      <c r="G54" s="4"/>
    </row>
    <row r="55" spans="1:7" x14ac:dyDescent="0.2">
      <c r="A55" s="3">
        <v>53</v>
      </c>
      <c r="B55" s="21" t="s">
        <v>218</v>
      </c>
      <c r="C55" s="9"/>
      <c r="D55" s="4" t="s">
        <v>55</v>
      </c>
      <c r="E55" s="26">
        <v>20</v>
      </c>
      <c r="F55" s="26">
        <v>100</v>
      </c>
      <c r="G55" s="26">
        <v>140</v>
      </c>
    </row>
    <row r="56" spans="1:7" x14ac:dyDescent="0.2">
      <c r="A56" s="4">
        <v>54</v>
      </c>
      <c r="B56" s="15" t="s">
        <v>220</v>
      </c>
      <c r="C56" s="9"/>
      <c r="D56" s="4"/>
      <c r="E56" s="4"/>
      <c r="F56" s="26"/>
      <c r="G56" s="4"/>
    </row>
    <row r="57" spans="1:7" ht="24" x14ac:dyDescent="0.2">
      <c r="A57" s="3">
        <v>55</v>
      </c>
      <c r="B57" s="21" t="s">
        <v>222</v>
      </c>
      <c r="C57" s="9"/>
      <c r="D57" s="4" t="s">
        <v>55</v>
      </c>
      <c r="E57" s="26">
        <v>25</v>
      </c>
      <c r="F57" s="26">
        <v>100</v>
      </c>
      <c r="G57" s="26">
        <v>150</v>
      </c>
    </row>
    <row r="58" spans="1:7" x14ac:dyDescent="0.2">
      <c r="A58" s="4">
        <v>56</v>
      </c>
      <c r="B58" s="15" t="s">
        <v>260</v>
      </c>
      <c r="C58" s="9"/>
      <c r="D58" s="4"/>
      <c r="E58" s="4"/>
      <c r="F58" s="26"/>
      <c r="G58" s="4"/>
    </row>
    <row r="59" spans="1:7" x14ac:dyDescent="0.2">
      <c r="A59" s="4">
        <v>57</v>
      </c>
      <c r="B59" s="15" t="s">
        <v>122</v>
      </c>
      <c r="C59" s="9"/>
      <c r="D59" s="4"/>
      <c r="E59" s="4"/>
      <c r="F59" s="26"/>
      <c r="G59" s="4"/>
    </row>
    <row r="60" spans="1:7" x14ac:dyDescent="0.2">
      <c r="A60" s="3">
        <v>58</v>
      </c>
      <c r="B60" s="21" t="s">
        <v>124</v>
      </c>
      <c r="C60" s="9"/>
      <c r="D60" s="4" t="s">
        <v>54</v>
      </c>
      <c r="E60" s="26">
        <v>50</v>
      </c>
      <c r="F60" s="26">
        <v>100</v>
      </c>
      <c r="G60" s="26">
        <v>150</v>
      </c>
    </row>
    <row r="61" spans="1:7" ht="24" x14ac:dyDescent="0.2">
      <c r="A61" s="3">
        <v>59</v>
      </c>
      <c r="B61" s="21" t="s">
        <v>126</v>
      </c>
      <c r="C61" s="9"/>
      <c r="D61" s="4" t="s">
        <v>54</v>
      </c>
      <c r="E61" s="26">
        <v>50</v>
      </c>
      <c r="F61" s="26">
        <v>100</v>
      </c>
      <c r="G61" s="26">
        <v>150</v>
      </c>
    </row>
    <row r="62" spans="1:7" x14ac:dyDescent="0.2">
      <c r="A62" s="3">
        <v>60</v>
      </c>
      <c r="B62" s="21" t="s">
        <v>130</v>
      </c>
      <c r="C62" s="9"/>
      <c r="D62" s="4" t="s">
        <v>54</v>
      </c>
      <c r="E62" s="26">
        <v>50</v>
      </c>
      <c r="F62" s="26">
        <v>100</v>
      </c>
      <c r="G62" s="26">
        <v>150</v>
      </c>
    </row>
    <row r="63" spans="1:7" x14ac:dyDescent="0.2">
      <c r="A63" s="4">
        <v>61</v>
      </c>
      <c r="B63" s="15" t="s">
        <v>236</v>
      </c>
      <c r="C63" s="9"/>
      <c r="D63" s="4"/>
      <c r="E63" s="4"/>
      <c r="F63" s="26"/>
      <c r="G63" s="4"/>
    </row>
    <row r="64" spans="1:7" ht="24" x14ac:dyDescent="0.2">
      <c r="A64" s="3">
        <v>62</v>
      </c>
      <c r="B64" s="21" t="s">
        <v>238</v>
      </c>
      <c r="C64" s="9"/>
      <c r="D64" s="4" t="s">
        <v>54</v>
      </c>
      <c r="E64" s="26">
        <v>50</v>
      </c>
      <c r="F64" s="26">
        <v>100</v>
      </c>
      <c r="G64" s="26">
        <v>150</v>
      </c>
    </row>
    <row r="65" spans="1:7" ht="24" x14ac:dyDescent="0.2">
      <c r="A65" s="3">
        <v>63</v>
      </c>
      <c r="B65" s="21" t="s">
        <v>275</v>
      </c>
      <c r="C65" s="9"/>
      <c r="D65" s="4" t="s">
        <v>54</v>
      </c>
      <c r="E65" s="26">
        <v>50</v>
      </c>
      <c r="F65" s="26">
        <v>100</v>
      </c>
      <c r="G65" s="26">
        <v>150</v>
      </c>
    </row>
    <row r="66" spans="1:7" ht="24" x14ac:dyDescent="0.2">
      <c r="A66" s="3">
        <v>64</v>
      </c>
      <c r="B66" s="21" t="s">
        <v>289</v>
      </c>
      <c r="C66" s="9"/>
      <c r="D66" s="4" t="s">
        <v>54</v>
      </c>
      <c r="E66" s="26">
        <v>88.888888888888886</v>
      </c>
      <c r="F66" s="26">
        <v>100</v>
      </c>
      <c r="G66" s="26">
        <v>111.11111111111111</v>
      </c>
    </row>
    <row r="67" spans="1:7" x14ac:dyDescent="0.2">
      <c r="A67" s="3">
        <v>65</v>
      </c>
      <c r="B67" s="21" t="s">
        <v>250</v>
      </c>
      <c r="C67" s="9"/>
      <c r="D67" s="4" t="s">
        <v>54</v>
      </c>
      <c r="E67" s="26">
        <v>50</v>
      </c>
      <c r="F67" s="26">
        <v>100</v>
      </c>
      <c r="G67" s="26">
        <v>150</v>
      </c>
    </row>
    <row r="68" spans="1:7" x14ac:dyDescent="0.2">
      <c r="A68" s="3">
        <v>66</v>
      </c>
      <c r="B68" s="21" t="s">
        <v>253</v>
      </c>
      <c r="C68" s="9"/>
      <c r="D68" s="4" t="s">
        <v>54</v>
      </c>
      <c r="E68" s="26">
        <v>50</v>
      </c>
      <c r="F68" s="26">
        <v>100</v>
      </c>
      <c r="G68" s="26">
        <v>150</v>
      </c>
    </row>
    <row r="69" spans="1:7" ht="24" x14ac:dyDescent="0.2">
      <c r="A69" s="4">
        <v>67</v>
      </c>
      <c r="B69" s="15" t="s">
        <v>216</v>
      </c>
      <c r="C69" s="9"/>
      <c r="D69" s="4"/>
      <c r="E69" s="4"/>
      <c r="F69" s="26"/>
      <c r="G69" s="4"/>
    </row>
    <row r="70" spans="1:7" x14ac:dyDescent="0.2">
      <c r="A70" s="3">
        <v>68</v>
      </c>
      <c r="B70" s="21" t="s">
        <v>218</v>
      </c>
      <c r="C70" s="9"/>
      <c r="D70" s="4" t="s">
        <v>54</v>
      </c>
      <c r="E70" s="26">
        <v>40</v>
      </c>
      <c r="F70" s="26">
        <v>100</v>
      </c>
      <c r="G70" s="26">
        <v>160</v>
      </c>
    </row>
    <row r="71" spans="1:7" x14ac:dyDescent="0.2">
      <c r="A71" s="15">
        <v>69</v>
      </c>
      <c r="B71" s="15" t="s">
        <v>220</v>
      </c>
      <c r="C71" s="9"/>
      <c r="D71" s="4"/>
      <c r="E71" s="4"/>
      <c r="F71" s="26"/>
      <c r="G71" s="4"/>
    </row>
    <row r="72" spans="1:7" ht="24" x14ac:dyDescent="0.2">
      <c r="A72" s="3">
        <v>70</v>
      </c>
      <c r="B72" s="21" t="s">
        <v>222</v>
      </c>
      <c r="C72" s="9"/>
      <c r="D72" s="4" t="s">
        <v>54</v>
      </c>
      <c r="E72" s="26">
        <v>50</v>
      </c>
      <c r="F72" s="26">
        <v>100</v>
      </c>
      <c r="G72" s="26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4"/>
  <sheetViews>
    <sheetView zoomScale="120" zoomScaleNormal="120" workbookViewId="0">
      <selection activeCell="F14" sqref="F14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3" max="4" width="13.6640625" customWidth="1"/>
    <col min="5" max="5" width="6.6640625" customWidth="1"/>
    <col min="6" max="6" width="22.6640625" customWidth="1"/>
    <col min="7" max="11" width="10.6640625" customWidth="1"/>
    <col min="12" max="12" width="13.6640625" customWidth="1"/>
    <col min="13" max="13" width="6.6640625" customWidth="1"/>
    <col min="14" max="21" width="10.6640625" customWidth="1"/>
    <col min="22" max="22" width="8.6640625" customWidth="1"/>
    <col min="23" max="24" width="10.6640625" customWidth="1"/>
  </cols>
  <sheetData>
    <row r="1" spans="1:24" x14ac:dyDescent="0.2">
      <c r="B1" s="1" t="s">
        <v>57</v>
      </c>
      <c r="C1" s="41">
        <v>44118.333333333336</v>
      </c>
      <c r="E1" s="1" t="s">
        <v>58</v>
      </c>
      <c r="F1" s="4" t="s">
        <v>72</v>
      </c>
    </row>
    <row r="3" spans="1:24" x14ac:dyDescent="0.2">
      <c r="A3" s="42" t="s">
        <v>0</v>
      </c>
      <c r="B3" s="42"/>
      <c r="C3" s="42" t="s">
        <v>2</v>
      </c>
      <c r="D3" s="42"/>
      <c r="E3" s="42"/>
      <c r="F3" s="42" t="s">
        <v>3</v>
      </c>
      <c r="G3" s="42"/>
      <c r="H3" s="42" t="s">
        <v>4</v>
      </c>
      <c r="I3" s="42"/>
      <c r="J3" s="42"/>
      <c r="K3" s="42"/>
      <c r="L3" s="42" t="s">
        <v>59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60</v>
      </c>
      <c r="M4" s="1" t="s">
        <v>61</v>
      </c>
      <c r="N4" s="1" t="s">
        <v>62</v>
      </c>
      <c r="O4" s="1" t="s">
        <v>63</v>
      </c>
      <c r="P4" s="1" t="s">
        <v>64</v>
      </c>
      <c r="Q4" s="1" t="s">
        <v>65</v>
      </c>
      <c r="R4" s="1" t="s">
        <v>66</v>
      </c>
      <c r="S4" s="1" t="s">
        <v>67</v>
      </c>
      <c r="T4" s="1" t="s">
        <v>68</v>
      </c>
      <c r="U4" s="1" t="s">
        <v>69</v>
      </c>
      <c r="V4" s="1" t="s">
        <v>59</v>
      </c>
      <c r="W4" s="1" t="s">
        <v>70</v>
      </c>
      <c r="X4" s="1" t="s">
        <v>71</v>
      </c>
    </row>
    <row r="5" spans="1:24" x14ac:dyDescent="0.2">
      <c r="A5" s="2">
        <v>0</v>
      </c>
      <c r="B5" s="15" t="s">
        <v>115</v>
      </c>
      <c r="C5" s="17"/>
      <c r="D5" s="17"/>
      <c r="E5" s="17"/>
      <c r="F5" s="17"/>
      <c r="G5" s="17"/>
      <c r="H5" s="19"/>
      <c r="I5" s="17"/>
      <c r="J5" s="17"/>
      <c r="K5" s="19"/>
      <c r="L5" s="35"/>
      <c r="M5" s="31"/>
      <c r="N5" s="17"/>
      <c r="O5" s="17"/>
      <c r="P5" s="17"/>
      <c r="Q5" s="17"/>
      <c r="R5" s="32"/>
      <c r="S5" s="18"/>
      <c r="T5" s="20"/>
      <c r="U5" s="20"/>
      <c r="V5" s="33"/>
      <c r="W5" s="19"/>
      <c r="X5" s="19"/>
    </row>
    <row r="6" spans="1:24" x14ac:dyDescent="0.2">
      <c r="A6" s="4">
        <v>2</v>
      </c>
      <c r="B6" s="15" t="s">
        <v>116</v>
      </c>
      <c r="C6" s="17"/>
      <c r="D6" s="17"/>
      <c r="E6" s="17"/>
      <c r="F6" s="17"/>
      <c r="G6" s="17"/>
      <c r="H6" s="19"/>
      <c r="I6" s="17"/>
      <c r="J6" s="17"/>
      <c r="K6" s="19"/>
      <c r="L6" s="35"/>
      <c r="M6" s="31"/>
      <c r="N6" s="17"/>
      <c r="O6" s="17"/>
      <c r="P6" s="17"/>
      <c r="Q6" s="17"/>
      <c r="R6" s="32"/>
      <c r="S6" s="18"/>
      <c r="T6" s="20"/>
      <c r="U6" s="20"/>
      <c r="V6" s="33"/>
      <c r="W6" s="19"/>
      <c r="X6" s="19"/>
    </row>
    <row r="7" spans="1:24" ht="36" x14ac:dyDescent="0.2">
      <c r="A7" s="3">
        <v>3</v>
      </c>
      <c r="B7" s="21" t="s">
        <v>117</v>
      </c>
      <c r="C7" s="6"/>
      <c r="D7" s="6"/>
      <c r="E7" s="9"/>
      <c r="F7" s="9"/>
      <c r="G7" s="7"/>
      <c r="H7" s="7"/>
      <c r="I7" s="7"/>
      <c r="J7" s="7"/>
      <c r="K7" s="7"/>
      <c r="L7" s="34">
        <v>44061</v>
      </c>
      <c r="M7" s="3" t="s">
        <v>119</v>
      </c>
      <c r="N7" s="7"/>
      <c r="O7" s="7"/>
      <c r="P7" s="9"/>
      <c r="Q7" s="7"/>
      <c r="R7" s="8"/>
      <c r="S7" s="23">
        <v>16275</v>
      </c>
      <c r="T7" s="7"/>
      <c r="U7" s="10">
        <v>1</v>
      </c>
      <c r="V7" s="9"/>
      <c r="W7" s="7"/>
      <c r="X7" s="7"/>
    </row>
    <row r="8" spans="1:24" x14ac:dyDescent="0.2">
      <c r="A8" s="3">
        <v>4</v>
      </c>
      <c r="B8" s="15" t="s">
        <v>120</v>
      </c>
      <c r="C8" s="17"/>
      <c r="D8" s="17"/>
      <c r="E8" s="17"/>
      <c r="F8" s="17"/>
      <c r="G8" s="17"/>
      <c r="H8" s="19"/>
      <c r="I8" s="17"/>
      <c r="J8" s="17"/>
      <c r="K8" s="19"/>
      <c r="L8" s="35"/>
      <c r="M8" s="31"/>
      <c r="N8" s="17"/>
      <c r="O8" s="17"/>
      <c r="P8" s="17"/>
      <c r="Q8" s="17"/>
      <c r="R8" s="32"/>
      <c r="S8" s="25"/>
      <c r="T8" s="20"/>
      <c r="U8" s="20"/>
      <c r="V8" s="33"/>
      <c r="W8" s="19"/>
      <c r="X8" s="19"/>
    </row>
    <row r="9" spans="1:24" x14ac:dyDescent="0.2">
      <c r="A9" s="3">
        <v>5</v>
      </c>
      <c r="B9" s="15" t="s">
        <v>122</v>
      </c>
      <c r="C9" s="17"/>
      <c r="D9" s="17"/>
      <c r="E9" s="17"/>
      <c r="F9" s="17"/>
      <c r="G9" s="17"/>
      <c r="H9" s="19"/>
      <c r="I9" s="17"/>
      <c r="J9" s="17"/>
      <c r="K9" s="19"/>
      <c r="L9" s="35"/>
      <c r="M9" s="31"/>
      <c r="N9" s="17"/>
      <c r="O9" s="17"/>
      <c r="P9" s="17"/>
      <c r="Q9" s="17"/>
      <c r="R9" s="32"/>
      <c r="S9" s="25"/>
      <c r="T9" s="20"/>
      <c r="U9" s="20"/>
      <c r="V9" s="33"/>
      <c r="W9" s="19"/>
      <c r="X9" s="19"/>
    </row>
    <row r="10" spans="1:24" x14ac:dyDescent="0.2">
      <c r="A10" s="4">
        <v>6</v>
      </c>
      <c r="B10" s="21" t="s">
        <v>124</v>
      </c>
      <c r="C10" s="6"/>
      <c r="D10" s="6"/>
      <c r="E10" s="9"/>
      <c r="F10" s="9"/>
      <c r="G10" s="7"/>
      <c r="H10" s="7"/>
      <c r="I10" s="7"/>
      <c r="J10" s="7"/>
      <c r="K10" s="7"/>
      <c r="L10" s="34">
        <v>44062</v>
      </c>
      <c r="M10" s="3" t="s">
        <v>119</v>
      </c>
      <c r="N10" s="7"/>
      <c r="O10" s="7"/>
      <c r="P10" s="9"/>
      <c r="Q10" s="7"/>
      <c r="R10" s="8"/>
      <c r="S10" s="23">
        <v>450</v>
      </c>
      <c r="T10" s="7"/>
      <c r="U10" s="10">
        <v>1</v>
      </c>
      <c r="V10" s="9"/>
      <c r="W10" s="7"/>
      <c r="X10" s="7"/>
    </row>
    <row r="11" spans="1:24" ht="24" x14ac:dyDescent="0.2">
      <c r="A11" s="4">
        <v>7</v>
      </c>
      <c r="B11" s="21" t="s">
        <v>126</v>
      </c>
      <c r="C11" s="6"/>
      <c r="D11" s="6"/>
      <c r="E11" s="9"/>
      <c r="F11" s="9"/>
      <c r="G11" s="7"/>
      <c r="H11" s="7"/>
      <c r="I11" s="7"/>
      <c r="J11" s="7"/>
      <c r="K11" s="7"/>
      <c r="L11" s="34">
        <v>44062</v>
      </c>
      <c r="M11" s="3" t="s">
        <v>134</v>
      </c>
      <c r="N11" s="7"/>
      <c r="O11" s="7"/>
      <c r="P11" s="9"/>
      <c r="Q11" s="7"/>
      <c r="R11" s="8"/>
      <c r="S11" s="23">
        <v>5779.8</v>
      </c>
      <c r="T11" s="7"/>
      <c r="U11" s="10">
        <v>1</v>
      </c>
      <c r="V11" s="9"/>
      <c r="W11" s="7"/>
      <c r="X11" s="7"/>
    </row>
    <row r="12" spans="1:24" x14ac:dyDescent="0.2">
      <c r="A12" s="3">
        <v>8</v>
      </c>
      <c r="B12" s="21" t="s">
        <v>130</v>
      </c>
      <c r="C12" s="6"/>
      <c r="D12" s="6"/>
      <c r="E12" s="9"/>
      <c r="F12" s="9"/>
      <c r="G12" s="7"/>
      <c r="H12" s="7"/>
      <c r="I12" s="7"/>
      <c r="J12" s="7"/>
      <c r="K12" s="7"/>
      <c r="L12" s="34">
        <v>44064</v>
      </c>
      <c r="M12" s="3" t="s">
        <v>134</v>
      </c>
      <c r="N12" s="7"/>
      <c r="O12" s="7"/>
      <c r="P12" s="9"/>
      <c r="Q12" s="7"/>
      <c r="R12" s="8"/>
      <c r="S12" s="23">
        <v>1200</v>
      </c>
      <c r="T12" s="7"/>
      <c r="U12" s="10">
        <v>1</v>
      </c>
      <c r="V12" s="9"/>
      <c r="W12" s="7"/>
      <c r="X12" s="7"/>
    </row>
    <row r="13" spans="1:24" x14ac:dyDescent="0.2">
      <c r="A13" s="3">
        <v>9</v>
      </c>
      <c r="B13" s="21" t="s">
        <v>135</v>
      </c>
      <c r="C13" s="6"/>
      <c r="D13" s="6"/>
      <c r="E13" s="9"/>
      <c r="F13" s="9"/>
      <c r="G13" s="7"/>
      <c r="H13" s="7"/>
      <c r="I13" s="7"/>
      <c r="J13" s="7"/>
      <c r="K13" s="7"/>
      <c r="L13" s="34">
        <v>44067</v>
      </c>
      <c r="M13" s="3" t="s">
        <v>129</v>
      </c>
      <c r="N13" s="7"/>
      <c r="O13" s="7"/>
      <c r="P13" s="9"/>
      <c r="Q13" s="7"/>
      <c r="R13" s="8"/>
      <c r="S13" s="23">
        <v>988</v>
      </c>
      <c r="T13" s="7"/>
      <c r="U13" s="10">
        <v>1</v>
      </c>
      <c r="V13" s="9"/>
      <c r="W13" s="7"/>
      <c r="X13" s="7"/>
    </row>
    <row r="14" spans="1:24" ht="24" x14ac:dyDescent="0.2">
      <c r="A14" s="3">
        <v>10</v>
      </c>
      <c r="B14" s="21" t="s">
        <v>138</v>
      </c>
      <c r="C14" s="6"/>
      <c r="D14" s="6"/>
      <c r="E14" s="9"/>
      <c r="F14" s="9"/>
      <c r="G14" s="7"/>
      <c r="H14" s="7"/>
      <c r="I14" s="7"/>
      <c r="J14" s="7"/>
      <c r="K14" s="7"/>
      <c r="L14" s="34">
        <v>44061</v>
      </c>
      <c r="M14" s="3" t="s">
        <v>151</v>
      </c>
      <c r="N14" s="7"/>
      <c r="O14" s="7"/>
      <c r="P14" s="9"/>
      <c r="Q14" s="7"/>
      <c r="R14" s="8"/>
      <c r="S14" s="23">
        <v>11243.6</v>
      </c>
      <c r="T14" s="7"/>
      <c r="U14" s="10">
        <v>1</v>
      </c>
      <c r="V14" s="9"/>
      <c r="W14" s="7"/>
      <c r="X14" s="7"/>
    </row>
    <row r="15" spans="1:24" x14ac:dyDescent="0.2">
      <c r="A15" s="3">
        <v>11</v>
      </c>
      <c r="B15" s="15" t="s">
        <v>141</v>
      </c>
      <c r="C15" s="17"/>
      <c r="D15" s="17"/>
      <c r="E15" s="17"/>
      <c r="F15" s="17"/>
      <c r="G15" s="17"/>
      <c r="H15" s="19"/>
      <c r="I15" s="17"/>
      <c r="J15" s="17"/>
      <c r="K15" s="19"/>
      <c r="L15" s="35"/>
      <c r="M15" s="31"/>
      <c r="N15" s="17"/>
      <c r="O15" s="17"/>
      <c r="P15" s="17"/>
      <c r="Q15" s="17"/>
      <c r="R15" s="32"/>
      <c r="S15" s="25"/>
      <c r="T15" s="20"/>
      <c r="U15" s="20"/>
      <c r="V15" s="33"/>
      <c r="W15" s="19"/>
      <c r="X15" s="19"/>
    </row>
    <row r="16" spans="1:24" ht="36" x14ac:dyDescent="0.2">
      <c r="A16" s="3">
        <v>12</v>
      </c>
      <c r="B16" s="21" t="s">
        <v>143</v>
      </c>
      <c r="C16" s="6"/>
      <c r="D16" s="6"/>
      <c r="E16" s="9"/>
      <c r="F16" s="9"/>
      <c r="G16" s="7"/>
      <c r="H16" s="7"/>
      <c r="I16" s="7"/>
      <c r="J16" s="7"/>
      <c r="K16" s="7"/>
      <c r="L16" s="34">
        <v>44068</v>
      </c>
      <c r="M16" s="3" t="s">
        <v>252</v>
      </c>
      <c r="N16" s="7"/>
      <c r="O16" s="7"/>
      <c r="P16" s="9"/>
      <c r="Q16" s="7"/>
      <c r="R16" s="8"/>
      <c r="S16" s="23">
        <v>5325.2</v>
      </c>
      <c r="T16" s="7"/>
      <c r="U16" s="10">
        <v>1</v>
      </c>
      <c r="V16" s="9"/>
      <c r="W16" s="7"/>
      <c r="X16" s="7"/>
    </row>
    <row r="17" spans="1:24" ht="24" x14ac:dyDescent="0.2">
      <c r="A17" s="3">
        <v>13</v>
      </c>
      <c r="B17" s="21" t="s">
        <v>148</v>
      </c>
      <c r="C17" s="6"/>
      <c r="D17" s="6"/>
      <c r="E17" s="9"/>
      <c r="F17" s="9"/>
      <c r="G17" s="7"/>
      <c r="H17" s="7"/>
      <c r="I17" s="7"/>
      <c r="J17" s="7"/>
      <c r="K17" s="7"/>
      <c r="L17" s="34">
        <v>44073</v>
      </c>
      <c r="M17" s="3" t="s">
        <v>24</v>
      </c>
      <c r="N17" s="7"/>
      <c r="O17" s="7"/>
      <c r="P17" s="9"/>
      <c r="Q17" s="7"/>
      <c r="R17" s="8"/>
      <c r="S17" s="23">
        <v>4105.5200000000004</v>
      </c>
      <c r="T17" s="7"/>
      <c r="U17" s="10">
        <v>1</v>
      </c>
      <c r="V17" s="9"/>
      <c r="W17" s="7"/>
      <c r="X17" s="7"/>
    </row>
    <row r="18" spans="1:24" ht="36" x14ac:dyDescent="0.2">
      <c r="A18" s="4">
        <v>14</v>
      </c>
      <c r="B18" s="21" t="s">
        <v>152</v>
      </c>
      <c r="C18" s="6"/>
      <c r="D18" s="6"/>
      <c r="E18" s="9"/>
      <c r="F18" s="9"/>
      <c r="G18" s="7"/>
      <c r="H18" s="7"/>
      <c r="I18" s="7"/>
      <c r="J18" s="7"/>
      <c r="K18" s="7"/>
      <c r="L18" s="34">
        <v>44079</v>
      </c>
      <c r="M18" s="3" t="s">
        <v>129</v>
      </c>
      <c r="N18" s="7"/>
      <c r="O18" s="7"/>
      <c r="P18" s="9"/>
      <c r="Q18" s="7"/>
      <c r="R18" s="8"/>
      <c r="S18" s="23">
        <v>9586.82</v>
      </c>
      <c r="T18" s="7"/>
      <c r="U18" s="10">
        <v>1</v>
      </c>
      <c r="V18" s="9"/>
      <c r="W18" s="7"/>
      <c r="X18" s="7"/>
    </row>
    <row r="19" spans="1:24" ht="24" x14ac:dyDescent="0.2">
      <c r="A19" s="3">
        <v>15</v>
      </c>
      <c r="B19" s="21" t="s">
        <v>155</v>
      </c>
      <c r="C19" s="6"/>
      <c r="D19" s="6"/>
      <c r="E19" s="9"/>
      <c r="F19" s="9"/>
      <c r="G19" s="7"/>
      <c r="H19" s="7"/>
      <c r="I19" s="7"/>
      <c r="J19" s="7"/>
      <c r="K19" s="7"/>
      <c r="L19" s="34">
        <v>44081</v>
      </c>
      <c r="M19" s="3" t="s">
        <v>73</v>
      </c>
      <c r="N19" s="7"/>
      <c r="O19" s="7"/>
      <c r="P19" s="9"/>
      <c r="Q19" s="7"/>
      <c r="R19" s="8"/>
      <c r="S19" s="23">
        <v>5522.06</v>
      </c>
      <c r="T19" s="7"/>
      <c r="U19" s="10">
        <v>1</v>
      </c>
      <c r="V19" s="9"/>
      <c r="W19" s="7"/>
      <c r="X19" s="7"/>
    </row>
    <row r="20" spans="1:24" ht="24" x14ac:dyDescent="0.2">
      <c r="A20" s="3">
        <v>16</v>
      </c>
      <c r="B20" s="21" t="s">
        <v>156</v>
      </c>
      <c r="C20" s="6"/>
      <c r="D20" s="6"/>
      <c r="E20" s="9"/>
      <c r="F20" s="9"/>
      <c r="G20" s="7"/>
      <c r="H20" s="7"/>
      <c r="I20" s="7"/>
      <c r="J20" s="7"/>
      <c r="K20" s="7"/>
      <c r="L20" s="34">
        <v>44086</v>
      </c>
      <c r="M20" s="3" t="s">
        <v>32</v>
      </c>
      <c r="N20" s="7"/>
      <c r="O20" s="7"/>
      <c r="P20" s="9"/>
      <c r="Q20" s="7"/>
      <c r="R20" s="8"/>
      <c r="S20" s="23">
        <v>59414.720000000001</v>
      </c>
      <c r="T20" s="7"/>
      <c r="U20" s="10">
        <v>1</v>
      </c>
      <c r="V20" s="9"/>
      <c r="W20" s="7"/>
      <c r="X20" s="7"/>
    </row>
    <row r="21" spans="1:24" x14ac:dyDescent="0.2">
      <c r="A21" s="3">
        <v>17</v>
      </c>
      <c r="B21" s="15" t="s">
        <v>159</v>
      </c>
      <c r="C21" s="17"/>
      <c r="D21" s="17"/>
      <c r="E21" s="17"/>
      <c r="F21" s="17"/>
      <c r="G21" s="17"/>
      <c r="H21" s="19"/>
      <c r="I21" s="17"/>
      <c r="J21" s="17"/>
      <c r="K21" s="19"/>
      <c r="L21" s="35"/>
      <c r="M21" s="31"/>
      <c r="N21" s="17"/>
      <c r="O21" s="17"/>
      <c r="P21" s="17"/>
      <c r="Q21" s="17"/>
      <c r="R21" s="32"/>
      <c r="S21" s="25"/>
      <c r="T21" s="20"/>
      <c r="U21" s="20"/>
      <c r="V21" s="33"/>
      <c r="W21" s="19"/>
      <c r="X21" s="19"/>
    </row>
    <row r="22" spans="1:24" ht="24" x14ac:dyDescent="0.2">
      <c r="A22" s="3">
        <v>18</v>
      </c>
      <c r="B22" s="21" t="s">
        <v>161</v>
      </c>
      <c r="C22" s="6"/>
      <c r="D22" s="6"/>
      <c r="E22" s="9"/>
      <c r="F22" s="9"/>
      <c r="G22" s="7"/>
      <c r="H22" s="7"/>
      <c r="I22" s="7"/>
      <c r="J22" s="7"/>
      <c r="K22" s="7"/>
      <c r="L22" s="34">
        <v>44096</v>
      </c>
      <c r="M22" s="3" t="s">
        <v>151</v>
      </c>
      <c r="N22" s="7"/>
      <c r="O22" s="7"/>
      <c r="P22" s="9"/>
      <c r="Q22" s="7"/>
      <c r="R22" s="8"/>
      <c r="S22" s="23">
        <v>4304.28</v>
      </c>
      <c r="T22" s="7"/>
      <c r="U22" s="10">
        <v>1</v>
      </c>
      <c r="V22" s="9"/>
      <c r="W22" s="7"/>
      <c r="X22" s="7"/>
    </row>
    <row r="23" spans="1:24" ht="24" x14ac:dyDescent="0.2">
      <c r="A23" s="3">
        <v>19</v>
      </c>
      <c r="B23" s="21" t="s">
        <v>289</v>
      </c>
      <c r="C23" s="6"/>
      <c r="D23" s="6"/>
      <c r="E23" s="9"/>
      <c r="F23" s="9"/>
      <c r="G23" s="7"/>
      <c r="H23" s="7"/>
      <c r="I23" s="7"/>
      <c r="J23" s="7"/>
      <c r="K23" s="7"/>
      <c r="L23" s="34">
        <v>44101</v>
      </c>
      <c r="M23" s="3" t="s">
        <v>129</v>
      </c>
      <c r="N23" s="7"/>
      <c r="O23" s="7"/>
      <c r="P23" s="9"/>
      <c r="Q23" s="7"/>
      <c r="R23" s="8"/>
      <c r="S23" s="23">
        <v>20411.64</v>
      </c>
      <c r="T23" s="7"/>
      <c r="U23" s="10">
        <v>1</v>
      </c>
      <c r="V23" s="9"/>
      <c r="W23" s="7"/>
      <c r="X23" s="7"/>
    </row>
    <row r="24" spans="1:24" x14ac:dyDescent="0.2">
      <c r="A24" s="3">
        <v>20</v>
      </c>
      <c r="B24" s="21" t="s">
        <v>169</v>
      </c>
      <c r="C24" s="6"/>
      <c r="D24" s="6"/>
      <c r="E24" s="9"/>
      <c r="F24" s="9"/>
      <c r="G24" s="7"/>
      <c r="H24" s="7"/>
      <c r="I24" s="7"/>
      <c r="J24" s="7"/>
      <c r="K24" s="7"/>
      <c r="L24" s="34">
        <v>44101</v>
      </c>
      <c r="M24" s="3" t="s">
        <v>134</v>
      </c>
      <c r="N24" s="7"/>
      <c r="O24" s="7"/>
      <c r="P24" s="9"/>
      <c r="Q24" s="7"/>
      <c r="R24" s="8"/>
      <c r="S24" s="23">
        <v>2556.64</v>
      </c>
      <c r="T24" s="7"/>
      <c r="U24" s="10">
        <v>1</v>
      </c>
      <c r="V24" s="9"/>
      <c r="W24" s="7"/>
      <c r="X24" s="7"/>
    </row>
    <row r="25" spans="1:24" x14ac:dyDescent="0.2">
      <c r="A25" s="3">
        <v>21</v>
      </c>
      <c r="B25" s="21" t="s">
        <v>171</v>
      </c>
      <c r="C25" s="6"/>
      <c r="D25" s="6"/>
      <c r="E25" s="9"/>
      <c r="F25" s="9"/>
      <c r="G25" s="7"/>
      <c r="H25" s="7"/>
      <c r="I25" s="7"/>
      <c r="J25" s="7"/>
      <c r="K25" s="7"/>
      <c r="L25" s="34">
        <v>44106</v>
      </c>
      <c r="M25" s="3" t="s">
        <v>252</v>
      </c>
      <c r="N25" s="7"/>
      <c r="O25" s="7"/>
      <c r="P25" s="9"/>
      <c r="Q25" s="7"/>
      <c r="R25" s="8"/>
      <c r="S25" s="23">
        <v>1384.8</v>
      </c>
      <c r="T25" s="7"/>
      <c r="U25" s="10">
        <v>1</v>
      </c>
      <c r="V25" s="9"/>
      <c r="W25" s="7"/>
      <c r="X25" s="7"/>
    </row>
    <row r="26" spans="1:24" x14ac:dyDescent="0.2">
      <c r="A26" s="4">
        <v>22</v>
      </c>
      <c r="B26" s="15" t="s">
        <v>174</v>
      </c>
      <c r="C26" s="17"/>
      <c r="D26" s="17"/>
      <c r="E26" s="17"/>
      <c r="F26" s="17"/>
      <c r="G26" s="17"/>
      <c r="H26" s="19"/>
      <c r="I26" s="17"/>
      <c r="J26" s="17"/>
      <c r="K26" s="19"/>
      <c r="L26" s="35"/>
      <c r="M26" s="31"/>
      <c r="N26" s="17"/>
      <c r="O26" s="17"/>
      <c r="P26" s="17"/>
      <c r="Q26" s="17"/>
      <c r="R26" s="32"/>
      <c r="S26" s="25"/>
      <c r="T26" s="20"/>
      <c r="U26" s="20"/>
      <c r="V26" s="33"/>
      <c r="W26" s="19"/>
      <c r="X26" s="19"/>
    </row>
    <row r="27" spans="1:24" ht="24" x14ac:dyDescent="0.2">
      <c r="A27" s="4">
        <v>23</v>
      </c>
      <c r="B27" s="21" t="s">
        <v>176</v>
      </c>
      <c r="C27" s="6"/>
      <c r="D27" s="6"/>
      <c r="E27" s="9"/>
      <c r="F27" s="9"/>
      <c r="G27" s="7"/>
      <c r="H27" s="7"/>
      <c r="I27" s="7"/>
      <c r="J27" s="7"/>
      <c r="K27" s="7"/>
      <c r="L27" s="34">
        <v>44096</v>
      </c>
      <c r="M27" s="3" t="s">
        <v>252</v>
      </c>
      <c r="N27" s="7"/>
      <c r="O27" s="7"/>
      <c r="P27" s="9"/>
      <c r="Q27" s="7"/>
      <c r="R27" s="8"/>
      <c r="S27" s="23">
        <v>2022.24</v>
      </c>
      <c r="T27" s="7"/>
      <c r="U27" s="10">
        <v>1</v>
      </c>
      <c r="V27" s="9"/>
      <c r="W27" s="7"/>
      <c r="X27" s="7"/>
    </row>
    <row r="28" spans="1:24" ht="24" x14ac:dyDescent="0.2">
      <c r="A28" s="3">
        <v>24</v>
      </c>
      <c r="B28" s="21" t="s">
        <v>179</v>
      </c>
      <c r="C28" s="6"/>
      <c r="D28" s="6"/>
      <c r="E28" s="9"/>
      <c r="F28" s="9"/>
      <c r="G28" s="7"/>
      <c r="H28" s="7"/>
      <c r="I28" s="7"/>
      <c r="J28" s="7"/>
      <c r="K28" s="7"/>
      <c r="L28" s="34">
        <v>44099</v>
      </c>
      <c r="M28" s="3" t="s">
        <v>252</v>
      </c>
      <c r="N28" s="7"/>
      <c r="O28" s="7"/>
      <c r="P28" s="9"/>
      <c r="Q28" s="7"/>
      <c r="R28" s="8"/>
      <c r="S28" s="23">
        <v>835.65</v>
      </c>
      <c r="T28" s="7"/>
      <c r="U28" s="10">
        <v>1</v>
      </c>
      <c r="V28" s="9"/>
      <c r="W28" s="7"/>
      <c r="X28" s="7"/>
    </row>
    <row r="29" spans="1:24" ht="24" x14ac:dyDescent="0.2">
      <c r="A29" s="3">
        <v>25</v>
      </c>
      <c r="B29" s="21" t="s">
        <v>183</v>
      </c>
      <c r="C29" s="6"/>
      <c r="D29" s="6"/>
      <c r="E29" s="9"/>
      <c r="F29" s="9"/>
      <c r="G29" s="7"/>
      <c r="H29" s="7"/>
      <c r="I29" s="7"/>
      <c r="J29" s="7"/>
      <c r="K29" s="7"/>
      <c r="L29" s="34">
        <v>44102</v>
      </c>
      <c r="M29" s="3" t="s">
        <v>73</v>
      </c>
      <c r="N29" s="7"/>
      <c r="O29" s="7"/>
      <c r="P29" s="9"/>
      <c r="Q29" s="7"/>
      <c r="R29" s="8"/>
      <c r="S29" s="23">
        <v>1278.72</v>
      </c>
      <c r="T29" s="7"/>
      <c r="U29" s="10">
        <v>1</v>
      </c>
      <c r="V29" s="9"/>
      <c r="W29" s="7"/>
      <c r="X29" s="7"/>
    </row>
    <row r="30" spans="1:24" ht="24" x14ac:dyDescent="0.2">
      <c r="A30" s="3">
        <v>26</v>
      </c>
      <c r="B30" s="21" t="s">
        <v>187</v>
      </c>
      <c r="C30" s="6"/>
      <c r="D30" s="6"/>
      <c r="E30" s="9"/>
      <c r="F30" s="9"/>
      <c r="G30" s="7"/>
      <c r="H30" s="7"/>
      <c r="I30" s="7"/>
      <c r="J30" s="7"/>
      <c r="K30" s="7"/>
      <c r="L30" s="34">
        <v>44105</v>
      </c>
      <c r="M30" s="3" t="s">
        <v>129</v>
      </c>
      <c r="N30" s="7"/>
      <c r="O30" s="7"/>
      <c r="P30" s="9"/>
      <c r="Q30" s="7"/>
      <c r="R30" s="8"/>
      <c r="S30" s="23">
        <v>1229.56</v>
      </c>
      <c r="T30" s="7"/>
      <c r="U30" s="10">
        <v>1</v>
      </c>
      <c r="V30" s="9"/>
      <c r="W30" s="7"/>
      <c r="X30" s="7"/>
    </row>
    <row r="31" spans="1:24" x14ac:dyDescent="0.2">
      <c r="A31" s="3">
        <v>27</v>
      </c>
      <c r="B31" s="21" t="s">
        <v>191</v>
      </c>
      <c r="C31" s="6"/>
      <c r="D31" s="6"/>
      <c r="E31" s="9"/>
      <c r="F31" s="9"/>
      <c r="G31" s="7"/>
      <c r="H31" s="7"/>
      <c r="I31" s="7"/>
      <c r="J31" s="7"/>
      <c r="K31" s="7"/>
      <c r="L31" s="34">
        <v>44106</v>
      </c>
      <c r="M31" s="3" t="s">
        <v>119</v>
      </c>
      <c r="N31" s="7"/>
      <c r="O31" s="7"/>
      <c r="P31" s="9"/>
      <c r="Q31" s="7"/>
      <c r="R31" s="8"/>
      <c r="S31" s="23">
        <v>260.45999999999998</v>
      </c>
      <c r="T31" s="7"/>
      <c r="U31" s="10">
        <v>1</v>
      </c>
      <c r="V31" s="9"/>
      <c r="W31" s="7"/>
      <c r="X31" s="7"/>
    </row>
    <row r="32" spans="1:24" ht="24" x14ac:dyDescent="0.2">
      <c r="A32" s="3">
        <v>28</v>
      </c>
      <c r="B32" s="21" t="s">
        <v>194</v>
      </c>
      <c r="C32" s="6"/>
      <c r="D32" s="6"/>
      <c r="E32" s="9"/>
      <c r="F32" s="9"/>
      <c r="G32" s="7"/>
      <c r="H32" s="7"/>
      <c r="I32" s="7"/>
      <c r="J32" s="7"/>
      <c r="K32" s="7"/>
      <c r="L32" s="34">
        <v>44106</v>
      </c>
      <c r="M32" s="3" t="s">
        <v>134</v>
      </c>
      <c r="N32" s="7"/>
      <c r="O32" s="7"/>
      <c r="P32" s="9"/>
      <c r="Q32" s="7"/>
      <c r="R32" s="8"/>
      <c r="S32" s="23">
        <v>10008.6</v>
      </c>
      <c r="T32" s="7"/>
      <c r="U32" s="10">
        <v>1</v>
      </c>
      <c r="V32" s="9"/>
      <c r="W32" s="7"/>
      <c r="X32" s="7"/>
    </row>
    <row r="33" spans="1:24" ht="24" x14ac:dyDescent="0.2">
      <c r="A33" s="3">
        <v>29</v>
      </c>
      <c r="B33" s="21" t="s">
        <v>197</v>
      </c>
      <c r="C33" s="6"/>
      <c r="D33" s="6"/>
      <c r="E33" s="9"/>
      <c r="F33" s="9"/>
      <c r="G33" s="7"/>
      <c r="H33" s="7"/>
      <c r="I33" s="7"/>
      <c r="J33" s="7"/>
      <c r="K33" s="7"/>
      <c r="L33" s="34">
        <v>44109</v>
      </c>
      <c r="M33" s="3" t="s">
        <v>119</v>
      </c>
      <c r="N33" s="7"/>
      <c r="O33" s="7"/>
      <c r="P33" s="9"/>
      <c r="Q33" s="7"/>
      <c r="R33" s="8"/>
      <c r="S33" s="23">
        <v>23678.33</v>
      </c>
      <c r="T33" s="7"/>
      <c r="U33" s="10">
        <v>1</v>
      </c>
      <c r="V33" s="9"/>
      <c r="W33" s="7"/>
      <c r="X33" s="7"/>
    </row>
    <row r="34" spans="1:24" ht="24" x14ac:dyDescent="0.2">
      <c r="A34" s="3">
        <v>30</v>
      </c>
      <c r="B34" s="21" t="s">
        <v>200</v>
      </c>
      <c r="C34" s="6"/>
      <c r="D34" s="6"/>
      <c r="E34" s="9"/>
      <c r="F34" s="9"/>
      <c r="G34" s="7"/>
      <c r="H34" s="7"/>
      <c r="I34" s="7"/>
      <c r="J34" s="7"/>
      <c r="K34" s="7"/>
      <c r="L34" s="34">
        <v>44109</v>
      </c>
      <c r="M34" s="3" t="s">
        <v>73</v>
      </c>
      <c r="N34" s="7"/>
      <c r="O34" s="7"/>
      <c r="P34" s="9"/>
      <c r="Q34" s="7"/>
      <c r="R34" s="8"/>
      <c r="S34" s="23">
        <v>5616.45</v>
      </c>
      <c r="T34" s="7"/>
      <c r="U34" s="10">
        <v>1</v>
      </c>
      <c r="V34" s="9"/>
      <c r="W34" s="7"/>
      <c r="X34" s="7"/>
    </row>
    <row r="35" spans="1:24" ht="24" x14ac:dyDescent="0.2">
      <c r="A35" s="3">
        <v>31</v>
      </c>
      <c r="B35" s="21" t="s">
        <v>202</v>
      </c>
      <c r="C35" s="6"/>
      <c r="D35" s="6"/>
      <c r="E35" s="9"/>
      <c r="F35" s="9"/>
      <c r="G35" s="7"/>
      <c r="H35" s="7"/>
      <c r="I35" s="7"/>
      <c r="J35" s="7"/>
      <c r="K35" s="7"/>
      <c r="L35" s="34">
        <v>44109</v>
      </c>
      <c r="M35" s="3" t="s">
        <v>129</v>
      </c>
      <c r="N35" s="7"/>
      <c r="O35" s="7"/>
      <c r="P35" s="9"/>
      <c r="Q35" s="7"/>
      <c r="R35" s="8"/>
      <c r="S35" s="23">
        <v>3925.8</v>
      </c>
      <c r="T35" s="7"/>
      <c r="U35" s="10">
        <v>1</v>
      </c>
      <c r="V35" s="9"/>
      <c r="W35" s="7"/>
      <c r="X35" s="7"/>
    </row>
    <row r="36" spans="1:24" ht="24" x14ac:dyDescent="0.2">
      <c r="A36" s="4">
        <v>32</v>
      </c>
      <c r="B36" s="15" t="s">
        <v>290</v>
      </c>
      <c r="C36" s="17"/>
      <c r="D36" s="17"/>
      <c r="E36" s="17"/>
      <c r="F36" s="17"/>
      <c r="G36" s="17"/>
      <c r="H36" s="19"/>
      <c r="I36" s="17"/>
      <c r="J36" s="17"/>
      <c r="K36" s="19"/>
      <c r="L36" s="35"/>
      <c r="M36" s="31"/>
      <c r="N36" s="17"/>
      <c r="O36" s="17"/>
      <c r="P36" s="17"/>
      <c r="Q36" s="17"/>
      <c r="R36" s="32"/>
      <c r="S36" s="25"/>
      <c r="T36" s="20"/>
      <c r="U36" s="20"/>
      <c r="V36" s="33"/>
      <c r="W36" s="19"/>
      <c r="X36" s="19"/>
    </row>
    <row r="37" spans="1:24" ht="24" x14ac:dyDescent="0.2">
      <c r="A37" s="3">
        <v>33</v>
      </c>
      <c r="B37" s="21" t="s">
        <v>291</v>
      </c>
      <c r="C37" s="6"/>
      <c r="D37" s="6"/>
      <c r="E37" s="9"/>
      <c r="F37" s="9"/>
      <c r="G37" s="7"/>
      <c r="H37" s="7"/>
      <c r="I37" s="7"/>
      <c r="J37" s="7"/>
      <c r="K37" s="7"/>
      <c r="L37" s="34">
        <v>44106</v>
      </c>
      <c r="M37" s="3" t="s">
        <v>129</v>
      </c>
      <c r="N37" s="7"/>
      <c r="O37" s="7"/>
      <c r="P37" s="9"/>
      <c r="Q37" s="7"/>
      <c r="R37" s="8"/>
      <c r="S37" s="23">
        <v>274.8</v>
      </c>
      <c r="T37" s="7"/>
      <c r="U37" s="10">
        <v>1</v>
      </c>
      <c r="V37" s="9"/>
      <c r="W37" s="7"/>
      <c r="X37" s="7"/>
    </row>
    <row r="38" spans="1:24" ht="24" x14ac:dyDescent="0.2">
      <c r="A38" s="3">
        <v>34</v>
      </c>
      <c r="B38" s="21" t="s">
        <v>208</v>
      </c>
      <c r="C38" s="6"/>
      <c r="D38" s="6"/>
      <c r="E38" s="9"/>
      <c r="F38" s="9"/>
      <c r="G38" s="7"/>
      <c r="H38" s="7"/>
      <c r="I38" s="7"/>
      <c r="J38" s="7"/>
      <c r="K38" s="7"/>
      <c r="L38" s="34">
        <v>44108</v>
      </c>
      <c r="M38" s="3" t="s">
        <v>134</v>
      </c>
      <c r="N38" s="7"/>
      <c r="O38" s="7"/>
      <c r="P38" s="9"/>
      <c r="Q38" s="7"/>
      <c r="R38" s="8"/>
      <c r="S38" s="23">
        <v>375.6</v>
      </c>
      <c r="T38" s="7"/>
      <c r="U38" s="10">
        <v>1</v>
      </c>
      <c r="V38" s="9"/>
      <c r="W38" s="7"/>
      <c r="X38" s="7"/>
    </row>
    <row r="39" spans="1:24" ht="24" x14ac:dyDescent="0.2">
      <c r="A39" s="3">
        <v>35</v>
      </c>
      <c r="B39" s="21" t="s">
        <v>211</v>
      </c>
      <c r="C39" s="6"/>
      <c r="D39" s="6"/>
      <c r="E39" s="9"/>
      <c r="F39" s="9"/>
      <c r="G39" s="7"/>
      <c r="H39" s="7"/>
      <c r="I39" s="7"/>
      <c r="J39" s="7"/>
      <c r="K39" s="7"/>
      <c r="L39" s="34">
        <v>44110</v>
      </c>
      <c r="M39" s="3" t="s">
        <v>129</v>
      </c>
      <c r="N39" s="7"/>
      <c r="O39" s="7"/>
      <c r="P39" s="9"/>
      <c r="Q39" s="7"/>
      <c r="R39" s="8"/>
      <c r="S39" s="23">
        <v>81.45</v>
      </c>
      <c r="T39" s="7"/>
      <c r="U39" s="10">
        <v>1</v>
      </c>
      <c r="V39" s="9"/>
      <c r="W39" s="7"/>
      <c r="X39" s="7"/>
    </row>
    <row r="40" spans="1:24" ht="24" x14ac:dyDescent="0.2">
      <c r="A40" s="3">
        <v>36</v>
      </c>
      <c r="B40" s="21" t="s">
        <v>214</v>
      </c>
      <c r="C40" s="6"/>
      <c r="D40" s="6"/>
      <c r="E40" s="9"/>
      <c r="F40" s="9"/>
      <c r="G40" s="7"/>
      <c r="H40" s="7"/>
      <c r="I40" s="7"/>
      <c r="J40" s="7"/>
      <c r="K40" s="7"/>
      <c r="L40" s="34">
        <v>44110</v>
      </c>
      <c r="M40" s="3" t="s">
        <v>129</v>
      </c>
      <c r="N40" s="7"/>
      <c r="O40" s="7"/>
      <c r="P40" s="9"/>
      <c r="Q40" s="7"/>
      <c r="R40" s="8"/>
      <c r="S40" s="23">
        <v>244.13</v>
      </c>
      <c r="T40" s="7"/>
      <c r="U40" s="10">
        <v>1</v>
      </c>
      <c r="V40" s="9"/>
      <c r="W40" s="7"/>
      <c r="X40" s="7"/>
    </row>
    <row r="41" spans="1:24" ht="24" x14ac:dyDescent="0.2">
      <c r="A41" s="3">
        <v>37</v>
      </c>
      <c r="B41" s="15" t="s">
        <v>216</v>
      </c>
      <c r="C41" s="17"/>
      <c r="D41" s="17"/>
      <c r="E41" s="17"/>
      <c r="F41" s="17"/>
      <c r="G41" s="17"/>
      <c r="H41" s="19"/>
      <c r="I41" s="17"/>
      <c r="J41" s="17"/>
      <c r="K41" s="19"/>
      <c r="L41" s="35"/>
      <c r="M41" s="31"/>
      <c r="N41" s="17"/>
      <c r="O41" s="17"/>
      <c r="P41" s="17"/>
      <c r="Q41" s="17"/>
      <c r="R41" s="32"/>
      <c r="S41" s="25"/>
      <c r="T41" s="20"/>
      <c r="U41" s="20"/>
      <c r="V41" s="33"/>
      <c r="W41" s="19"/>
      <c r="X41" s="19"/>
    </row>
    <row r="42" spans="1:24" x14ac:dyDescent="0.2">
      <c r="A42" s="3">
        <v>38</v>
      </c>
      <c r="B42" s="21" t="s">
        <v>218</v>
      </c>
      <c r="C42" s="6"/>
      <c r="D42" s="6"/>
      <c r="E42" s="9"/>
      <c r="F42" s="9"/>
      <c r="G42" s="7"/>
      <c r="H42" s="7"/>
      <c r="I42" s="7"/>
      <c r="J42" s="7"/>
      <c r="K42" s="7"/>
      <c r="L42" s="34">
        <v>44064</v>
      </c>
      <c r="M42" s="3" t="s">
        <v>129</v>
      </c>
      <c r="N42" s="7"/>
      <c r="O42" s="7"/>
      <c r="P42" s="9"/>
      <c r="Q42" s="7"/>
      <c r="R42" s="8"/>
      <c r="S42" s="23">
        <v>1000</v>
      </c>
      <c r="T42" s="7"/>
      <c r="U42" s="10">
        <v>1</v>
      </c>
      <c r="V42" s="9"/>
      <c r="W42" s="7"/>
      <c r="X42" s="7"/>
    </row>
    <row r="43" spans="1:24" x14ac:dyDescent="0.2">
      <c r="A43" s="3">
        <v>39</v>
      </c>
      <c r="B43" s="15" t="s">
        <v>220</v>
      </c>
      <c r="C43" s="17"/>
      <c r="D43" s="17"/>
      <c r="E43" s="17"/>
      <c r="F43" s="17"/>
      <c r="G43" s="17"/>
      <c r="H43" s="19"/>
      <c r="I43" s="17"/>
      <c r="J43" s="17"/>
      <c r="K43" s="19"/>
      <c r="L43" s="35"/>
      <c r="M43" s="31"/>
      <c r="N43" s="17"/>
      <c r="O43" s="17"/>
      <c r="P43" s="17"/>
      <c r="Q43" s="17"/>
      <c r="R43" s="32"/>
      <c r="S43" s="25"/>
      <c r="T43" s="20"/>
      <c r="U43" s="20"/>
      <c r="V43" s="33"/>
      <c r="W43" s="19"/>
      <c r="X43" s="19"/>
    </row>
    <row r="44" spans="1:24" ht="24" x14ac:dyDescent="0.2">
      <c r="A44" s="3">
        <v>40</v>
      </c>
      <c r="B44" s="21" t="s">
        <v>222</v>
      </c>
      <c r="C44" s="6"/>
      <c r="D44" s="6"/>
      <c r="E44" s="9"/>
      <c r="F44" s="9"/>
      <c r="G44" s="7"/>
      <c r="H44" s="7"/>
      <c r="I44" s="7"/>
      <c r="J44" s="7"/>
      <c r="K44" s="7"/>
      <c r="L44" s="34">
        <v>44116</v>
      </c>
      <c r="M44" s="3" t="s">
        <v>129</v>
      </c>
      <c r="N44" s="7"/>
      <c r="O44" s="7"/>
      <c r="P44" s="9"/>
      <c r="Q44" s="7"/>
      <c r="R44" s="8"/>
      <c r="S44" s="23">
        <v>1000</v>
      </c>
      <c r="T44" s="7"/>
      <c r="U44" s="10">
        <v>1</v>
      </c>
      <c r="V44" s="9"/>
      <c r="W44" s="7"/>
      <c r="X44" s="7"/>
    </row>
    <row r="45" spans="1:24" x14ac:dyDescent="0.2">
      <c r="A45" s="4">
        <v>41</v>
      </c>
      <c r="B45" s="15" t="s">
        <v>225</v>
      </c>
      <c r="C45" s="17"/>
      <c r="D45" s="17"/>
      <c r="E45" s="17"/>
      <c r="F45" s="17"/>
      <c r="G45" s="17"/>
      <c r="H45" s="19"/>
      <c r="I45" s="17"/>
      <c r="J45" s="17"/>
      <c r="K45" s="19"/>
      <c r="L45" s="35"/>
      <c r="M45" s="31"/>
      <c r="N45" s="17"/>
      <c r="O45" s="17"/>
      <c r="P45" s="17"/>
      <c r="Q45" s="17"/>
      <c r="R45" s="32"/>
      <c r="S45" s="25"/>
      <c r="T45" s="20"/>
      <c r="U45" s="20"/>
      <c r="V45" s="33"/>
      <c r="W45" s="19"/>
      <c r="X45" s="19"/>
    </row>
    <row r="46" spans="1:24" x14ac:dyDescent="0.2">
      <c r="A46" s="3">
        <v>42</v>
      </c>
      <c r="B46" s="15" t="s">
        <v>122</v>
      </c>
      <c r="C46" s="17"/>
      <c r="D46" s="17"/>
      <c r="E46" s="17"/>
      <c r="F46" s="17"/>
      <c r="G46" s="17"/>
      <c r="H46" s="19"/>
      <c r="I46" s="17"/>
      <c r="J46" s="17"/>
      <c r="K46" s="19"/>
      <c r="L46" s="35"/>
      <c r="M46" s="31"/>
      <c r="N46" s="17"/>
      <c r="O46" s="17"/>
      <c r="P46" s="17"/>
      <c r="Q46" s="17"/>
      <c r="R46" s="32"/>
      <c r="S46" s="25"/>
      <c r="T46" s="20"/>
      <c r="U46" s="20"/>
      <c r="V46" s="33"/>
      <c r="W46" s="19"/>
      <c r="X46" s="19"/>
    </row>
    <row r="47" spans="1:24" x14ac:dyDescent="0.2">
      <c r="A47" s="3">
        <v>43</v>
      </c>
      <c r="B47" s="21" t="s">
        <v>124</v>
      </c>
      <c r="C47" s="6"/>
      <c r="D47" s="6"/>
      <c r="E47" s="9"/>
      <c r="F47" s="9"/>
      <c r="G47" s="7"/>
      <c r="H47" s="7"/>
      <c r="I47" s="7"/>
      <c r="J47" s="7"/>
      <c r="K47" s="7"/>
      <c r="L47" s="34">
        <v>44062</v>
      </c>
      <c r="M47" s="3" t="s">
        <v>119</v>
      </c>
      <c r="N47" s="7"/>
      <c r="O47" s="7"/>
      <c r="P47" s="9"/>
      <c r="Q47" s="7"/>
      <c r="R47" s="8"/>
      <c r="S47" s="23">
        <v>450</v>
      </c>
      <c r="T47" s="7"/>
      <c r="U47" s="10">
        <v>1</v>
      </c>
      <c r="V47" s="9"/>
      <c r="W47" s="7"/>
      <c r="X47" s="7"/>
    </row>
    <row r="48" spans="1:24" ht="24" x14ac:dyDescent="0.2">
      <c r="A48" s="3">
        <v>44</v>
      </c>
      <c r="B48" s="21" t="s">
        <v>126</v>
      </c>
      <c r="C48" s="6"/>
      <c r="D48" s="6"/>
      <c r="E48" s="9"/>
      <c r="F48" s="9"/>
      <c r="G48" s="7"/>
      <c r="H48" s="7"/>
      <c r="I48" s="7"/>
      <c r="J48" s="7"/>
      <c r="K48" s="7"/>
      <c r="L48" s="34">
        <v>44063</v>
      </c>
      <c r="M48" s="3" t="s">
        <v>151</v>
      </c>
      <c r="N48" s="7"/>
      <c r="O48" s="7"/>
      <c r="P48" s="9"/>
      <c r="Q48" s="7"/>
      <c r="R48" s="8"/>
      <c r="S48" s="23">
        <v>2808</v>
      </c>
      <c r="T48" s="7"/>
      <c r="U48" s="10">
        <v>1</v>
      </c>
      <c r="V48" s="9"/>
      <c r="W48" s="7"/>
      <c r="X48" s="7"/>
    </row>
    <row r="49" spans="1:24" x14ac:dyDescent="0.2">
      <c r="A49" s="3">
        <v>45</v>
      </c>
      <c r="B49" s="21" t="s">
        <v>130</v>
      </c>
      <c r="C49" s="6"/>
      <c r="D49" s="6"/>
      <c r="E49" s="9"/>
      <c r="F49" s="9"/>
      <c r="G49" s="7"/>
      <c r="H49" s="7"/>
      <c r="I49" s="7"/>
      <c r="J49" s="7"/>
      <c r="K49" s="7"/>
      <c r="L49" s="34">
        <v>44069</v>
      </c>
      <c r="M49" s="3" t="s">
        <v>119</v>
      </c>
      <c r="N49" s="7"/>
      <c r="O49" s="7"/>
      <c r="P49" s="9"/>
      <c r="Q49" s="7"/>
      <c r="R49" s="8"/>
      <c r="S49" s="23">
        <v>1200</v>
      </c>
      <c r="T49" s="7"/>
      <c r="U49" s="10">
        <v>1</v>
      </c>
      <c r="V49" s="9"/>
      <c r="W49" s="7"/>
      <c r="X49" s="7"/>
    </row>
    <row r="50" spans="1:24" x14ac:dyDescent="0.2">
      <c r="A50" s="3">
        <v>46</v>
      </c>
      <c r="B50" s="15" t="s">
        <v>236</v>
      </c>
      <c r="C50" s="17"/>
      <c r="D50" s="17"/>
      <c r="E50" s="17"/>
      <c r="F50" s="17"/>
      <c r="G50" s="17"/>
      <c r="H50" s="19"/>
      <c r="I50" s="17"/>
      <c r="J50" s="17"/>
      <c r="K50" s="19"/>
      <c r="L50" s="35"/>
      <c r="M50" s="31"/>
      <c r="N50" s="17"/>
      <c r="O50" s="17"/>
      <c r="P50" s="17"/>
      <c r="Q50" s="17"/>
      <c r="R50" s="32"/>
      <c r="S50" s="25"/>
      <c r="T50" s="20"/>
      <c r="U50" s="20"/>
      <c r="V50" s="33"/>
      <c r="W50" s="19"/>
      <c r="X50" s="19"/>
    </row>
    <row r="51" spans="1:24" ht="24" x14ac:dyDescent="0.2">
      <c r="A51" s="3">
        <v>47</v>
      </c>
      <c r="B51" s="21" t="s">
        <v>238</v>
      </c>
      <c r="C51" s="6"/>
      <c r="D51" s="6"/>
      <c r="E51" s="9"/>
      <c r="F51" s="9"/>
      <c r="G51" s="7"/>
      <c r="H51" s="7"/>
      <c r="I51" s="7"/>
      <c r="J51" s="7"/>
      <c r="K51" s="7"/>
      <c r="L51" s="34">
        <v>44070</v>
      </c>
      <c r="M51" s="3" t="s">
        <v>119</v>
      </c>
      <c r="N51" s="7"/>
      <c r="O51" s="7"/>
      <c r="P51" s="9"/>
      <c r="Q51" s="7"/>
      <c r="R51" s="8"/>
      <c r="S51" s="23">
        <v>743.15</v>
      </c>
      <c r="T51" s="7"/>
      <c r="U51" s="10">
        <v>1</v>
      </c>
      <c r="V51" s="9"/>
      <c r="W51" s="7"/>
      <c r="X51" s="7"/>
    </row>
    <row r="52" spans="1:24" ht="24" x14ac:dyDescent="0.2">
      <c r="A52" s="3">
        <v>48</v>
      </c>
      <c r="B52" s="21" t="s">
        <v>242</v>
      </c>
      <c r="C52" s="6"/>
      <c r="D52" s="6"/>
      <c r="E52" s="9"/>
      <c r="F52" s="9"/>
      <c r="G52" s="7"/>
      <c r="H52" s="7"/>
      <c r="I52" s="7"/>
      <c r="J52" s="7"/>
      <c r="K52" s="7"/>
      <c r="L52" s="34">
        <v>44071</v>
      </c>
      <c r="M52" s="3" t="s">
        <v>119</v>
      </c>
      <c r="N52" s="7"/>
      <c r="O52" s="7"/>
      <c r="P52" s="9"/>
      <c r="Q52" s="7"/>
      <c r="R52" s="8"/>
      <c r="S52" s="23">
        <v>4124.28</v>
      </c>
      <c r="T52" s="7"/>
      <c r="U52" s="10">
        <v>1</v>
      </c>
      <c r="V52" s="9"/>
      <c r="W52" s="7"/>
      <c r="X52" s="7"/>
    </row>
    <row r="53" spans="1:24" ht="24" x14ac:dyDescent="0.2">
      <c r="A53" s="3">
        <v>49</v>
      </c>
      <c r="B53" s="21" t="s">
        <v>289</v>
      </c>
      <c r="C53" s="6"/>
      <c r="D53" s="6"/>
      <c r="E53" s="9"/>
      <c r="F53" s="9"/>
      <c r="G53" s="7"/>
      <c r="H53" s="7"/>
      <c r="I53" s="7"/>
      <c r="J53" s="7"/>
      <c r="K53" s="7"/>
      <c r="L53" s="34">
        <v>44072</v>
      </c>
      <c r="M53" s="3" t="s">
        <v>249</v>
      </c>
      <c r="N53" s="7"/>
      <c r="O53" s="7"/>
      <c r="P53" s="9"/>
      <c r="Q53" s="7"/>
      <c r="R53" s="8"/>
      <c r="S53" s="23">
        <v>13582.28</v>
      </c>
      <c r="T53" s="7"/>
      <c r="U53" s="10">
        <v>1</v>
      </c>
      <c r="V53" s="9"/>
      <c r="W53" s="7"/>
      <c r="X53" s="7"/>
    </row>
    <row r="54" spans="1:24" x14ac:dyDescent="0.2">
      <c r="A54" s="3">
        <v>50</v>
      </c>
      <c r="B54" s="21" t="s">
        <v>250</v>
      </c>
      <c r="C54" s="6"/>
      <c r="D54" s="6"/>
      <c r="E54" s="9"/>
      <c r="F54" s="9"/>
      <c r="G54" s="7"/>
      <c r="H54" s="7"/>
      <c r="I54" s="7"/>
      <c r="J54" s="7"/>
      <c r="K54" s="7"/>
      <c r="L54" s="34">
        <v>44072</v>
      </c>
      <c r="M54" s="3" t="s">
        <v>252</v>
      </c>
      <c r="N54" s="7"/>
      <c r="O54" s="7"/>
      <c r="P54" s="9"/>
      <c r="Q54" s="7"/>
      <c r="R54" s="8"/>
      <c r="S54" s="23">
        <v>1719.12</v>
      </c>
      <c r="T54" s="7"/>
      <c r="U54" s="10">
        <v>1</v>
      </c>
      <c r="V54" s="9"/>
      <c r="W54" s="7"/>
      <c r="X54" s="7"/>
    </row>
    <row r="55" spans="1:24" x14ac:dyDescent="0.2">
      <c r="A55" s="3">
        <v>51</v>
      </c>
      <c r="B55" s="21" t="s">
        <v>253</v>
      </c>
      <c r="C55" s="6"/>
      <c r="D55" s="6"/>
      <c r="E55" s="9"/>
      <c r="F55" s="9"/>
      <c r="G55" s="7"/>
      <c r="H55" s="7"/>
      <c r="I55" s="7"/>
      <c r="J55" s="7"/>
      <c r="K55" s="7"/>
      <c r="L55" s="34">
        <v>44072</v>
      </c>
      <c r="M55" s="3" t="s">
        <v>129</v>
      </c>
      <c r="N55" s="7"/>
      <c r="O55" s="7"/>
      <c r="P55" s="9"/>
      <c r="Q55" s="7"/>
      <c r="R55" s="8"/>
      <c r="S55" s="23">
        <v>900.12</v>
      </c>
      <c r="T55" s="7"/>
      <c r="U55" s="10">
        <v>1</v>
      </c>
      <c r="V55" s="9"/>
      <c r="W55" s="7"/>
      <c r="X55" s="7"/>
    </row>
    <row r="56" spans="1:24" ht="24" x14ac:dyDescent="0.2">
      <c r="A56" s="3">
        <v>52</v>
      </c>
      <c r="B56" s="15" t="s">
        <v>216</v>
      </c>
      <c r="C56" s="17"/>
      <c r="D56" s="17"/>
      <c r="E56" s="17"/>
      <c r="F56" s="17"/>
      <c r="G56" s="17"/>
      <c r="H56" s="19"/>
      <c r="I56" s="17"/>
      <c r="J56" s="17"/>
      <c r="K56" s="19"/>
      <c r="L56" s="35"/>
      <c r="M56" s="31"/>
      <c r="N56" s="17"/>
      <c r="O56" s="17"/>
      <c r="P56" s="17"/>
      <c r="Q56" s="17"/>
      <c r="R56" s="32"/>
      <c r="S56" s="25"/>
      <c r="T56" s="20"/>
      <c r="U56" s="20"/>
      <c r="V56" s="33"/>
      <c r="W56" s="19"/>
      <c r="X56" s="19"/>
    </row>
    <row r="57" spans="1:24" x14ac:dyDescent="0.2">
      <c r="A57" s="3">
        <v>53</v>
      </c>
      <c r="B57" s="21" t="s">
        <v>218</v>
      </c>
      <c r="C57" s="6"/>
      <c r="D57" s="6"/>
      <c r="E57" s="9"/>
      <c r="F57" s="9"/>
      <c r="G57" s="7"/>
      <c r="H57" s="7"/>
      <c r="I57" s="7"/>
      <c r="J57" s="7"/>
      <c r="K57" s="7"/>
      <c r="L57" s="34">
        <v>44069</v>
      </c>
      <c r="M57" s="3" t="s">
        <v>73</v>
      </c>
      <c r="N57" s="7"/>
      <c r="O57" s="7"/>
      <c r="P57" s="9"/>
      <c r="Q57" s="7"/>
      <c r="R57" s="8"/>
      <c r="S57" s="23">
        <v>1000</v>
      </c>
      <c r="T57" s="7"/>
      <c r="U57" s="10">
        <v>1</v>
      </c>
      <c r="V57" s="9"/>
      <c r="W57" s="7"/>
      <c r="X57" s="7"/>
    </row>
    <row r="58" spans="1:24" x14ac:dyDescent="0.2">
      <c r="A58" s="3">
        <v>54</v>
      </c>
      <c r="B58" s="15" t="s">
        <v>220</v>
      </c>
      <c r="C58" s="17"/>
      <c r="D58" s="17"/>
      <c r="E58" s="17"/>
      <c r="F58" s="17"/>
      <c r="G58" s="17"/>
      <c r="H58" s="19"/>
      <c r="I58" s="17"/>
      <c r="J58" s="17"/>
      <c r="K58" s="19"/>
      <c r="L58" s="35"/>
      <c r="M58" s="31"/>
      <c r="N58" s="17"/>
      <c r="O58" s="17"/>
      <c r="P58" s="17"/>
      <c r="Q58" s="17"/>
      <c r="R58" s="32"/>
      <c r="S58" s="25"/>
      <c r="T58" s="20"/>
      <c r="U58" s="20"/>
      <c r="V58" s="33"/>
      <c r="W58" s="19"/>
      <c r="X58" s="19"/>
    </row>
    <row r="59" spans="1:24" ht="24" x14ac:dyDescent="0.2">
      <c r="A59" s="3">
        <v>55</v>
      </c>
      <c r="B59" s="21" t="s">
        <v>222</v>
      </c>
      <c r="C59" s="6"/>
      <c r="D59" s="6"/>
      <c r="E59" s="9"/>
      <c r="F59" s="9"/>
      <c r="G59" s="7"/>
      <c r="H59" s="7"/>
      <c r="I59" s="7"/>
      <c r="J59" s="7"/>
      <c r="K59" s="7"/>
      <c r="L59" s="34">
        <v>44096</v>
      </c>
      <c r="M59" s="3" t="s">
        <v>119</v>
      </c>
      <c r="N59" s="7"/>
      <c r="O59" s="7"/>
      <c r="P59" s="9"/>
      <c r="Q59" s="7"/>
      <c r="R59" s="8"/>
      <c r="S59" s="23">
        <v>1000</v>
      </c>
      <c r="T59" s="7"/>
      <c r="U59" s="10">
        <v>1</v>
      </c>
      <c r="V59" s="9"/>
      <c r="W59" s="7"/>
      <c r="X59" s="7"/>
    </row>
    <row r="60" spans="1:24" x14ac:dyDescent="0.2">
      <c r="A60" s="3">
        <v>56</v>
      </c>
      <c r="B60" s="15" t="s">
        <v>260</v>
      </c>
      <c r="C60" s="17"/>
      <c r="D60" s="17"/>
      <c r="E60" s="17"/>
      <c r="F60" s="17"/>
      <c r="G60" s="17"/>
      <c r="H60" s="19"/>
      <c r="I60" s="17"/>
      <c r="J60" s="17"/>
      <c r="K60" s="19"/>
      <c r="L60" s="35"/>
      <c r="M60" s="31"/>
      <c r="N60" s="17"/>
      <c r="O60" s="17"/>
      <c r="P60" s="17"/>
      <c r="Q60" s="17"/>
      <c r="R60" s="32"/>
      <c r="S60" s="25"/>
      <c r="T60" s="20"/>
      <c r="U60" s="20"/>
      <c r="V60" s="33"/>
      <c r="W60" s="19"/>
      <c r="X60" s="19"/>
    </row>
    <row r="61" spans="1:24" x14ac:dyDescent="0.2">
      <c r="A61" s="3">
        <v>57</v>
      </c>
      <c r="B61" s="15" t="s">
        <v>122</v>
      </c>
      <c r="C61" s="17"/>
      <c r="D61" s="17"/>
      <c r="E61" s="17"/>
      <c r="F61" s="17"/>
      <c r="G61" s="17"/>
      <c r="H61" s="19"/>
      <c r="I61" s="17"/>
      <c r="J61" s="17"/>
      <c r="K61" s="19"/>
      <c r="L61" s="35"/>
      <c r="M61" s="31"/>
      <c r="N61" s="17"/>
      <c r="O61" s="17"/>
      <c r="P61" s="17"/>
      <c r="Q61" s="17"/>
      <c r="R61" s="32"/>
      <c r="S61" s="25"/>
      <c r="T61" s="20"/>
      <c r="U61" s="20"/>
      <c r="V61" s="33"/>
      <c r="W61" s="19"/>
      <c r="X61" s="19"/>
    </row>
    <row r="62" spans="1:24" x14ac:dyDescent="0.2">
      <c r="A62" s="3">
        <v>58</v>
      </c>
      <c r="B62" s="21" t="s">
        <v>124</v>
      </c>
      <c r="C62" s="6"/>
      <c r="D62" s="6"/>
      <c r="E62" s="9"/>
      <c r="F62" s="9"/>
      <c r="G62" s="7"/>
      <c r="H62" s="7"/>
      <c r="I62" s="7"/>
      <c r="J62" s="7"/>
      <c r="K62" s="7"/>
      <c r="L62" s="34">
        <v>44062</v>
      </c>
      <c r="M62" s="3" t="s">
        <v>119</v>
      </c>
      <c r="N62" s="7"/>
      <c r="O62" s="7"/>
      <c r="P62" s="9"/>
      <c r="Q62" s="7"/>
      <c r="R62" s="8"/>
      <c r="S62" s="23">
        <v>450</v>
      </c>
      <c r="T62" s="7"/>
      <c r="U62" s="10">
        <v>1</v>
      </c>
      <c r="V62" s="9"/>
      <c r="W62" s="7"/>
      <c r="X62" s="7"/>
    </row>
    <row r="63" spans="1:24" ht="24" x14ac:dyDescent="0.2">
      <c r="A63" s="3">
        <v>59</v>
      </c>
      <c r="B63" s="21" t="s">
        <v>126</v>
      </c>
      <c r="C63" s="6"/>
      <c r="D63" s="6"/>
      <c r="E63" s="9"/>
      <c r="F63" s="9"/>
      <c r="G63" s="7"/>
      <c r="H63" s="7"/>
      <c r="I63" s="7"/>
      <c r="J63" s="7"/>
      <c r="K63" s="7"/>
      <c r="L63" s="34">
        <v>44063</v>
      </c>
      <c r="M63" s="3" t="s">
        <v>252</v>
      </c>
      <c r="N63" s="7"/>
      <c r="O63" s="7"/>
      <c r="P63" s="9"/>
      <c r="Q63" s="7"/>
      <c r="R63" s="8"/>
      <c r="S63" s="23">
        <v>1872</v>
      </c>
      <c r="T63" s="7"/>
      <c r="U63" s="10">
        <v>1</v>
      </c>
      <c r="V63" s="9"/>
      <c r="W63" s="7"/>
      <c r="X63" s="7"/>
    </row>
    <row r="64" spans="1:24" x14ac:dyDescent="0.2">
      <c r="A64" s="3">
        <v>60</v>
      </c>
      <c r="B64" s="21" t="s">
        <v>130</v>
      </c>
      <c r="C64" s="6"/>
      <c r="D64" s="6"/>
      <c r="E64" s="9"/>
      <c r="F64" s="9"/>
      <c r="G64" s="7"/>
      <c r="H64" s="7"/>
      <c r="I64" s="7"/>
      <c r="J64" s="7"/>
      <c r="K64" s="7"/>
      <c r="L64" s="34">
        <v>44067</v>
      </c>
      <c r="M64" s="3" t="s">
        <v>119</v>
      </c>
      <c r="N64" s="7"/>
      <c r="O64" s="7"/>
      <c r="P64" s="9"/>
      <c r="Q64" s="7"/>
      <c r="R64" s="8"/>
      <c r="S64" s="23">
        <v>1200</v>
      </c>
      <c r="T64" s="7"/>
      <c r="U64" s="10">
        <v>1</v>
      </c>
      <c r="V64" s="9"/>
      <c r="W64" s="7"/>
      <c r="X64" s="7"/>
    </row>
    <row r="65" spans="1:24" x14ac:dyDescent="0.2">
      <c r="A65" s="3">
        <v>61</v>
      </c>
      <c r="B65" s="15" t="s">
        <v>236</v>
      </c>
      <c r="C65" s="17"/>
      <c r="D65" s="17"/>
      <c r="E65" s="17"/>
      <c r="F65" s="17"/>
      <c r="G65" s="17"/>
      <c r="H65" s="19"/>
      <c r="I65" s="17"/>
      <c r="J65" s="17"/>
      <c r="K65" s="19"/>
      <c r="L65" s="35"/>
      <c r="M65" s="31"/>
      <c r="N65" s="17"/>
      <c r="O65" s="17"/>
      <c r="P65" s="17"/>
      <c r="Q65" s="17"/>
      <c r="R65" s="32"/>
      <c r="S65" s="25"/>
      <c r="T65" s="20"/>
      <c r="U65" s="20"/>
      <c r="V65" s="33"/>
      <c r="W65" s="19"/>
      <c r="X65" s="19"/>
    </row>
    <row r="66" spans="1:24" ht="24" x14ac:dyDescent="0.2">
      <c r="A66" s="3">
        <v>62</v>
      </c>
      <c r="B66" s="21" t="s">
        <v>238</v>
      </c>
      <c r="C66" s="6"/>
      <c r="D66" s="6"/>
      <c r="E66" s="9"/>
      <c r="F66" s="9"/>
      <c r="G66" s="7"/>
      <c r="H66" s="7"/>
      <c r="I66" s="7"/>
      <c r="J66" s="7"/>
      <c r="K66" s="7"/>
      <c r="L66" s="34">
        <v>44068</v>
      </c>
      <c r="M66" s="3" t="s">
        <v>119</v>
      </c>
      <c r="N66" s="7"/>
      <c r="O66" s="7"/>
      <c r="P66" s="9"/>
      <c r="Q66" s="7"/>
      <c r="R66" s="8"/>
      <c r="S66" s="23">
        <v>743.15</v>
      </c>
      <c r="T66" s="7"/>
      <c r="U66" s="10">
        <v>1</v>
      </c>
      <c r="V66" s="9"/>
      <c r="W66" s="7"/>
      <c r="X66" s="7"/>
    </row>
    <row r="67" spans="1:24" ht="24" x14ac:dyDescent="0.2">
      <c r="A67" s="3">
        <v>63</v>
      </c>
      <c r="B67" s="21" t="s">
        <v>275</v>
      </c>
      <c r="C67" s="6"/>
      <c r="D67" s="6"/>
      <c r="E67" s="9"/>
      <c r="F67" s="9"/>
      <c r="G67" s="7"/>
      <c r="H67" s="7"/>
      <c r="I67" s="7"/>
      <c r="J67" s="7"/>
      <c r="K67" s="7"/>
      <c r="L67" s="34">
        <v>44069</v>
      </c>
      <c r="M67" s="3" t="s">
        <v>119</v>
      </c>
      <c r="N67" s="7"/>
      <c r="O67" s="7"/>
      <c r="P67" s="9"/>
      <c r="Q67" s="7"/>
      <c r="R67" s="8"/>
      <c r="S67" s="23">
        <v>4004.28</v>
      </c>
      <c r="T67" s="7"/>
      <c r="U67" s="10">
        <v>1</v>
      </c>
      <c r="V67" s="9"/>
      <c r="W67" s="7"/>
      <c r="X67" s="7"/>
    </row>
    <row r="68" spans="1:24" ht="24" x14ac:dyDescent="0.2">
      <c r="A68" s="3">
        <v>64</v>
      </c>
      <c r="B68" s="21" t="s">
        <v>289</v>
      </c>
      <c r="C68" s="6"/>
      <c r="D68" s="6"/>
      <c r="E68" s="9"/>
      <c r="F68" s="9"/>
      <c r="G68" s="7"/>
      <c r="H68" s="7"/>
      <c r="I68" s="7"/>
      <c r="J68" s="7"/>
      <c r="K68" s="7"/>
      <c r="L68" s="34">
        <v>44070</v>
      </c>
      <c r="M68" s="3" t="s">
        <v>74</v>
      </c>
      <c r="N68" s="7"/>
      <c r="O68" s="7"/>
      <c r="P68" s="9"/>
      <c r="Q68" s="7"/>
      <c r="R68" s="8"/>
      <c r="S68" s="23">
        <v>7625.16</v>
      </c>
      <c r="T68" s="7"/>
      <c r="U68" s="10">
        <v>1</v>
      </c>
      <c r="V68" s="9"/>
      <c r="W68" s="7"/>
      <c r="X68" s="7"/>
    </row>
    <row r="69" spans="1:24" x14ac:dyDescent="0.2">
      <c r="A69" s="3">
        <v>65</v>
      </c>
      <c r="B69" s="21" t="s">
        <v>250</v>
      </c>
      <c r="C69" s="6"/>
      <c r="D69" s="6"/>
      <c r="E69" s="9"/>
      <c r="F69" s="9"/>
      <c r="G69" s="7"/>
      <c r="H69" s="7"/>
      <c r="I69" s="7"/>
      <c r="J69" s="7"/>
      <c r="K69" s="7"/>
      <c r="L69" s="34">
        <v>44070</v>
      </c>
      <c r="M69" s="3" t="s">
        <v>129</v>
      </c>
      <c r="N69" s="7"/>
      <c r="O69" s="7"/>
      <c r="P69" s="9"/>
      <c r="Q69" s="7"/>
      <c r="R69" s="8"/>
      <c r="S69" s="23">
        <v>969.76</v>
      </c>
      <c r="T69" s="7"/>
      <c r="U69" s="10">
        <v>1</v>
      </c>
      <c r="V69" s="9"/>
      <c r="W69" s="7"/>
      <c r="X69" s="7"/>
    </row>
    <row r="70" spans="1:24" x14ac:dyDescent="0.2">
      <c r="A70" s="3">
        <v>66</v>
      </c>
      <c r="B70" s="21" t="s">
        <v>253</v>
      </c>
      <c r="C70" s="6"/>
      <c r="D70" s="6"/>
      <c r="E70" s="9"/>
      <c r="F70" s="9"/>
      <c r="G70" s="7"/>
      <c r="H70" s="7"/>
      <c r="I70" s="7"/>
      <c r="J70" s="7"/>
      <c r="K70" s="7"/>
      <c r="L70" s="34">
        <v>44070</v>
      </c>
      <c r="M70" s="3" t="s">
        <v>129</v>
      </c>
      <c r="N70" s="7"/>
      <c r="O70" s="7"/>
      <c r="P70" s="9"/>
      <c r="Q70" s="7"/>
      <c r="R70" s="8"/>
      <c r="S70" s="23">
        <v>507.76</v>
      </c>
      <c r="T70" s="7"/>
      <c r="U70" s="10">
        <v>1</v>
      </c>
      <c r="V70" s="9"/>
      <c r="W70" s="7"/>
      <c r="X70" s="7"/>
    </row>
    <row r="71" spans="1:24" ht="24" x14ac:dyDescent="0.2">
      <c r="A71" s="3">
        <v>67</v>
      </c>
      <c r="B71" s="15" t="s">
        <v>216</v>
      </c>
      <c r="C71" s="17"/>
      <c r="D71" s="17"/>
      <c r="E71" s="17"/>
      <c r="F71" s="17"/>
      <c r="G71" s="17"/>
      <c r="H71" s="19"/>
      <c r="I71" s="17"/>
      <c r="J71" s="17"/>
      <c r="K71" s="19"/>
      <c r="L71" s="35"/>
      <c r="M71" s="31"/>
      <c r="N71" s="17"/>
      <c r="O71" s="17"/>
      <c r="P71" s="17"/>
      <c r="Q71" s="17"/>
      <c r="R71" s="32"/>
      <c r="S71" s="25"/>
      <c r="T71" s="20"/>
      <c r="U71" s="20"/>
      <c r="V71" s="33"/>
      <c r="W71" s="19"/>
      <c r="X71" s="19"/>
    </row>
    <row r="72" spans="1:24" x14ac:dyDescent="0.2">
      <c r="A72" s="3">
        <v>68</v>
      </c>
      <c r="B72" s="21" t="s">
        <v>218</v>
      </c>
      <c r="C72" s="6"/>
      <c r="D72" s="6"/>
      <c r="E72" s="9"/>
      <c r="F72" s="9"/>
      <c r="G72" s="7"/>
      <c r="H72" s="7"/>
      <c r="I72" s="7"/>
      <c r="J72" s="7"/>
      <c r="K72" s="7"/>
      <c r="L72" s="34">
        <v>44067</v>
      </c>
      <c r="M72" s="3" t="s">
        <v>73</v>
      </c>
      <c r="N72" s="7"/>
      <c r="O72" s="7"/>
      <c r="P72" s="9"/>
      <c r="Q72" s="7"/>
      <c r="R72" s="8"/>
      <c r="S72" s="23">
        <v>1000</v>
      </c>
      <c r="T72" s="7"/>
      <c r="U72" s="10">
        <v>1</v>
      </c>
      <c r="V72" s="9"/>
      <c r="W72" s="7"/>
      <c r="X72" s="7"/>
    </row>
    <row r="73" spans="1:24" x14ac:dyDescent="0.2">
      <c r="A73" s="3">
        <v>69</v>
      </c>
      <c r="B73" s="15" t="s">
        <v>220</v>
      </c>
      <c r="C73" s="17"/>
      <c r="D73" s="17"/>
      <c r="E73" s="17"/>
      <c r="F73" s="17"/>
      <c r="G73" s="17"/>
      <c r="H73" s="19"/>
      <c r="I73" s="17"/>
      <c r="J73" s="17"/>
      <c r="K73" s="19"/>
      <c r="L73" s="35"/>
      <c r="M73" s="31"/>
      <c r="N73" s="17"/>
      <c r="O73" s="17"/>
      <c r="P73" s="17"/>
      <c r="Q73" s="17"/>
      <c r="R73" s="32"/>
      <c r="S73" s="25"/>
      <c r="T73" s="20"/>
      <c r="U73" s="20"/>
      <c r="V73" s="33"/>
      <c r="W73" s="19"/>
      <c r="X73" s="19"/>
    </row>
    <row r="74" spans="1:24" ht="24" x14ac:dyDescent="0.2">
      <c r="A74" s="3">
        <v>70</v>
      </c>
      <c r="B74" s="21" t="s">
        <v>222</v>
      </c>
      <c r="C74" s="6"/>
      <c r="D74" s="6"/>
      <c r="E74" s="9"/>
      <c r="F74" s="9"/>
      <c r="G74" s="7"/>
      <c r="H74" s="7"/>
      <c r="I74" s="7"/>
      <c r="J74" s="7"/>
      <c r="K74" s="7"/>
      <c r="L74" s="34">
        <v>44088</v>
      </c>
      <c r="M74" s="3" t="s">
        <v>119</v>
      </c>
      <c r="N74" s="7"/>
      <c r="O74" s="7"/>
      <c r="P74" s="9"/>
      <c r="Q74" s="7"/>
      <c r="R74" s="8"/>
      <c r="S74" s="23">
        <v>1000</v>
      </c>
      <c r="T74" s="7"/>
      <c r="U74" s="10">
        <v>1</v>
      </c>
      <c r="V74" s="9"/>
      <c r="W74" s="7"/>
      <c r="X74" s="7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workbookViewId="0">
      <selection activeCell="H7" sqref="H7"/>
    </sheetView>
  </sheetViews>
  <sheetFormatPr baseColWidth="10" defaultColWidth="8.83203125" defaultRowHeight="15" x14ac:dyDescent="0.2"/>
  <cols>
    <col min="1" max="1" width="12.6640625" customWidth="1"/>
    <col min="4" max="4" width="8.6640625" customWidth="1"/>
    <col min="7" max="7" width="12.6640625" customWidth="1"/>
  </cols>
  <sheetData>
    <row r="1" spans="1:7" x14ac:dyDescent="0.2">
      <c r="A1" s="42" t="s">
        <v>75</v>
      </c>
      <c r="B1" s="42"/>
      <c r="D1" s="42" t="s">
        <v>76</v>
      </c>
      <c r="E1" s="42"/>
      <c r="G1" s="1" t="s">
        <v>77</v>
      </c>
    </row>
    <row r="2" spans="1:7" x14ac:dyDescent="0.2">
      <c r="A2" s="9" t="s">
        <v>78</v>
      </c>
      <c r="B2" s="11" t="s">
        <v>79</v>
      </c>
      <c r="D2" s="9" t="s">
        <v>105</v>
      </c>
      <c r="E2" s="12" t="s">
        <v>88</v>
      </c>
      <c r="G2" s="13">
        <v>46023</v>
      </c>
    </row>
    <row r="3" spans="1:7" x14ac:dyDescent="0.2">
      <c r="A3" s="9" t="s">
        <v>80</v>
      </c>
      <c r="B3" s="11" t="s">
        <v>79</v>
      </c>
      <c r="D3" s="9" t="s">
        <v>106</v>
      </c>
      <c r="E3" s="12" t="s">
        <v>88</v>
      </c>
    </row>
    <row r="4" spans="1:7" x14ac:dyDescent="0.2">
      <c r="A4" s="9" t="s">
        <v>81</v>
      </c>
      <c r="B4" s="11" t="s">
        <v>79</v>
      </c>
      <c r="D4" s="9" t="s">
        <v>107</v>
      </c>
      <c r="E4" s="12" t="s">
        <v>88</v>
      </c>
    </row>
    <row r="5" spans="1:7" x14ac:dyDescent="0.2">
      <c r="A5" s="9" t="s">
        <v>82</v>
      </c>
      <c r="B5" s="11" t="s">
        <v>79</v>
      </c>
      <c r="D5" s="9" t="s">
        <v>108</v>
      </c>
      <c r="E5" s="12" t="s">
        <v>88</v>
      </c>
    </row>
    <row r="6" spans="1:7" x14ac:dyDescent="0.2">
      <c r="A6" s="9" t="s">
        <v>83</v>
      </c>
      <c r="B6" s="11" t="s">
        <v>79</v>
      </c>
      <c r="D6" s="9" t="s">
        <v>109</v>
      </c>
      <c r="E6" s="12" t="s">
        <v>88</v>
      </c>
    </row>
    <row r="7" spans="1:7" x14ac:dyDescent="0.2">
      <c r="A7" s="9" t="s">
        <v>84</v>
      </c>
      <c r="B7" s="11" t="s">
        <v>79</v>
      </c>
      <c r="D7" s="9" t="s">
        <v>110</v>
      </c>
      <c r="E7" s="12" t="s">
        <v>88</v>
      </c>
    </row>
    <row r="8" spans="1:7" x14ac:dyDescent="0.2">
      <c r="A8" s="9" t="s">
        <v>85</v>
      </c>
      <c r="B8" s="11" t="s">
        <v>79</v>
      </c>
      <c r="D8" s="9" t="s">
        <v>111</v>
      </c>
      <c r="E8" s="12" t="s">
        <v>88</v>
      </c>
    </row>
    <row r="9" spans="1:7" x14ac:dyDescent="0.2">
      <c r="A9" s="9" t="s">
        <v>86</v>
      </c>
      <c r="B9" s="11" t="s">
        <v>79</v>
      </c>
    </row>
    <row r="10" spans="1:7" x14ac:dyDescent="0.2">
      <c r="A10" s="9" t="s">
        <v>87</v>
      </c>
      <c r="B10" s="12" t="s">
        <v>88</v>
      </c>
    </row>
    <row r="11" spans="1:7" x14ac:dyDescent="0.2">
      <c r="A11" s="9" t="s">
        <v>89</v>
      </c>
      <c r="B11" s="12" t="s">
        <v>88</v>
      </c>
    </row>
    <row r="12" spans="1:7" x14ac:dyDescent="0.2">
      <c r="A12" s="9" t="s">
        <v>90</v>
      </c>
      <c r="B12" s="12" t="s">
        <v>88</v>
      </c>
    </row>
    <row r="13" spans="1:7" x14ac:dyDescent="0.2">
      <c r="A13" s="9" t="s">
        <v>91</v>
      </c>
      <c r="B13" s="12" t="s">
        <v>88</v>
      </c>
    </row>
    <row r="14" spans="1:7" x14ac:dyDescent="0.2">
      <c r="A14" s="9" t="s">
        <v>92</v>
      </c>
      <c r="B14" s="11" t="s">
        <v>79</v>
      </c>
    </row>
    <row r="15" spans="1:7" x14ac:dyDescent="0.2">
      <c r="A15" s="9" t="s">
        <v>93</v>
      </c>
      <c r="B15" s="12" t="s">
        <v>88</v>
      </c>
    </row>
    <row r="16" spans="1:7" x14ac:dyDescent="0.2">
      <c r="A16" s="9" t="s">
        <v>94</v>
      </c>
      <c r="B16" s="12" t="s">
        <v>88</v>
      </c>
    </row>
    <row r="17" spans="1:2" x14ac:dyDescent="0.2">
      <c r="A17" s="9" t="s">
        <v>95</v>
      </c>
      <c r="B17" s="12" t="s">
        <v>88</v>
      </c>
    </row>
    <row r="18" spans="1:2" x14ac:dyDescent="0.2">
      <c r="A18" s="9" t="s">
        <v>96</v>
      </c>
      <c r="B18" s="12" t="s">
        <v>88</v>
      </c>
    </row>
    <row r="19" spans="1:2" x14ac:dyDescent="0.2">
      <c r="A19" s="9" t="s">
        <v>97</v>
      </c>
      <c r="B19" s="11" t="s">
        <v>79</v>
      </c>
    </row>
    <row r="20" spans="1:2" x14ac:dyDescent="0.2">
      <c r="A20" s="9" t="s">
        <v>98</v>
      </c>
      <c r="B20" s="11" t="s">
        <v>79</v>
      </c>
    </row>
    <row r="21" spans="1:2" x14ac:dyDescent="0.2">
      <c r="A21" s="9" t="s">
        <v>99</v>
      </c>
      <c r="B21" s="11" t="s">
        <v>79</v>
      </c>
    </row>
    <row r="22" spans="1:2" x14ac:dyDescent="0.2">
      <c r="A22" s="9" t="s">
        <v>100</v>
      </c>
      <c r="B22" s="11" t="s">
        <v>79</v>
      </c>
    </row>
    <row r="23" spans="1:2" x14ac:dyDescent="0.2">
      <c r="A23" s="9" t="s">
        <v>101</v>
      </c>
      <c r="B23" s="11" t="s">
        <v>79</v>
      </c>
    </row>
    <row r="24" spans="1:2" x14ac:dyDescent="0.2">
      <c r="A24" s="9" t="s">
        <v>102</v>
      </c>
      <c r="B24" s="11" t="s">
        <v>79</v>
      </c>
    </row>
    <row r="25" spans="1:2" x14ac:dyDescent="0.2">
      <c r="A25" s="9" t="s">
        <v>103</v>
      </c>
      <c r="B25" s="11" t="s">
        <v>79</v>
      </c>
    </row>
    <row r="28" spans="1:2" x14ac:dyDescent="0.2">
      <c r="A28" s="14" t="s">
        <v>104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Project Control - TP1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Zahra Hussaini</cp:lastModifiedBy>
  <dcterms:created xsi:type="dcterms:W3CDTF">2025-02-17T20:52:55Z</dcterms:created>
  <dcterms:modified xsi:type="dcterms:W3CDTF">2025-04-11T16:58:56Z</dcterms:modified>
</cp:coreProperties>
</file>